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660"/>
  </bookViews>
  <sheets>
    <sheet name="ROI" sheetId="3" r:id="rId1"/>
    <sheet name="明细数据" sheetId="4" r:id="rId2"/>
    <sheet name="本周分时数据（6.8-6.14）" sheetId="7" r:id="rId3"/>
    <sheet name="上周分时数据（6.1-6.7）" sheetId="6" r:id="rId4"/>
    <sheet name="分渠道数据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<sst xmlns="http://schemas.openxmlformats.org/spreadsheetml/2006/main" count="3614" uniqueCount="400">
  <si>
    <t>周</t>
  </si>
  <si>
    <t>日</t>
  </si>
  <si>
    <t>消耗</t>
  </si>
  <si>
    <t>arpu</t>
  </si>
  <si>
    <t>ROI0</t>
  </si>
  <si>
    <t>ROI3</t>
  </si>
  <si>
    <t>ROI7</t>
  </si>
  <si>
    <t>均值</t>
  </si>
  <si>
    <t>日期</t>
  </si>
  <si>
    <t>激活数</t>
  </si>
  <si>
    <t>注册量</t>
  </si>
  <si>
    <t>注册成本</t>
  </si>
  <si>
    <t>AI提问人数</t>
  </si>
  <si>
    <t>付费人数</t>
  </si>
  <si>
    <t>付费率</t>
  </si>
  <si>
    <t>充值金额</t>
  </si>
  <si>
    <t>付费成本</t>
  </si>
  <si>
    <t>arppu</t>
  </si>
  <si>
    <t>进房率</t>
  </si>
  <si>
    <t>上麦率</t>
  </si>
  <si>
    <t>次留率</t>
  </si>
  <si>
    <t>付费次留率</t>
  </si>
  <si>
    <t>合计</t>
  </si>
  <si>
    <t>0601-0607</t>
  </si>
  <si>
    <t>0608-0614</t>
  </si>
  <si>
    <t>环比</t>
  </si>
  <si>
    <t>日均</t>
  </si>
  <si>
    <t>时间-小时</t>
  </si>
  <si>
    <t>账户ID</t>
  </si>
  <si>
    <t>账户名称</t>
  </si>
  <si>
    <t>展示数</t>
  </si>
  <si>
    <t>点击数</t>
  </si>
  <si>
    <t>付费数</t>
  </si>
  <si>
    <t>注册数</t>
  </si>
  <si>
    <t>激活成本</t>
  </si>
  <si>
    <t>付费金额(回传时间)</t>
  </si>
  <si>
    <t>2026-06-08 00:00:00</t>
  </si>
  <si>
    <t>1845122861782348</t>
  </si>
  <si>
    <t>知星-胡士托-付费ROI-600094722-户2</t>
  </si>
  <si>
    <t>2026-06-08 01:00:00</t>
  </si>
  <si>
    <t>2026-06-08 02:00:00</t>
  </si>
  <si>
    <t>2026-06-08 03:00:00</t>
  </si>
  <si>
    <t>2026-06-08 04:00:00</t>
  </si>
  <si>
    <t>2026-06-08 05:00:00</t>
  </si>
  <si>
    <t>2026-06-08 06:00:00</t>
  </si>
  <si>
    <t>2026-06-08 07:00:00</t>
  </si>
  <si>
    <t>2026-06-08 08:00:00</t>
  </si>
  <si>
    <t>2026-06-08 09:00:00</t>
  </si>
  <si>
    <t>2026-06-08 10:00:00</t>
  </si>
  <si>
    <t>2026-06-08 11:00:00</t>
  </si>
  <si>
    <t>2026-06-08 12:00:00</t>
  </si>
  <si>
    <t>2026-06-08 13:00:00</t>
  </si>
  <si>
    <t>2026-06-08 14:00:00</t>
  </si>
  <si>
    <t>2026-06-08 15:00:00</t>
  </si>
  <si>
    <t>2026-06-08 16:00:00</t>
  </si>
  <si>
    <t>2026-06-08 17:00:00</t>
  </si>
  <si>
    <t>2026-06-08 18:00:00</t>
  </si>
  <si>
    <t>2026-06-08 19:00:00</t>
  </si>
  <si>
    <t>2026-06-08 20:00:00</t>
  </si>
  <si>
    <t>2026-06-08 21:00:00</t>
  </si>
  <si>
    <t>2026-06-08 22:00:00</t>
  </si>
  <si>
    <t>2026-06-08 23:00:00</t>
  </si>
  <si>
    <t>2026-06-09 00:00:00</t>
  </si>
  <si>
    <t>2026-06-09 01:00:00</t>
  </si>
  <si>
    <t>2026-06-09 02:00:00</t>
  </si>
  <si>
    <t>2026-06-09 03:00:00</t>
  </si>
  <si>
    <t>2026-06-09 04:00:00</t>
  </si>
  <si>
    <t>2026-06-09 05:00:00</t>
  </si>
  <si>
    <t>2026-06-09 06:00:00</t>
  </si>
  <si>
    <t>2026-06-09 07:00:00</t>
  </si>
  <si>
    <t>2026-06-09 08:00:00</t>
  </si>
  <si>
    <t>2026-06-09 09:00:00</t>
  </si>
  <si>
    <t>2026-06-09 10:00:00</t>
  </si>
  <si>
    <t>2026-06-09 11:00:00</t>
  </si>
  <si>
    <t>2026-06-09 12:00:00</t>
  </si>
  <si>
    <t>2026-06-09 13:00:00</t>
  </si>
  <si>
    <t>2026-06-09 14:00:00</t>
  </si>
  <si>
    <t>2026-06-09 15:00:00</t>
  </si>
  <si>
    <t>2026-06-09 16:00:00</t>
  </si>
  <si>
    <t>2026-06-09 17:00:00</t>
  </si>
  <si>
    <t>2026-06-09 18:00:00</t>
  </si>
  <si>
    <t>2026-06-09 19:00:00</t>
  </si>
  <si>
    <t>2026-06-09 20:00:00</t>
  </si>
  <si>
    <t>2026-06-09 21:00:00</t>
  </si>
  <si>
    <t>2026-06-09 22:00:00</t>
  </si>
  <si>
    <t>2026-06-09 23:00:00</t>
  </si>
  <si>
    <t>2026-06-10 00:00:00</t>
  </si>
  <si>
    <t>2026-06-10 01:00:00</t>
  </si>
  <si>
    <t>2026-06-10 02:00:00</t>
  </si>
  <si>
    <t>2026-06-10 03:00:00</t>
  </si>
  <si>
    <t>2026-06-10 04:00:00</t>
  </si>
  <si>
    <t>2026-06-10 05:00:00</t>
  </si>
  <si>
    <t>2026-06-10 06:00:00</t>
  </si>
  <si>
    <t>2026-06-10 07:00:00</t>
  </si>
  <si>
    <t>2026-06-10 08:00:00</t>
  </si>
  <si>
    <t>2026-06-10 09:00:00</t>
  </si>
  <si>
    <t>2026-06-10 10:00:00</t>
  </si>
  <si>
    <t>2026-06-10 11:00:00</t>
  </si>
  <si>
    <t>2026-06-10 12:00:00</t>
  </si>
  <si>
    <t>2026-06-10 13:00:00</t>
  </si>
  <si>
    <t>2026-06-10 14:00:00</t>
  </si>
  <si>
    <t>2026-06-10 15:00:00</t>
  </si>
  <si>
    <t>2026-06-10 16:00:00</t>
  </si>
  <si>
    <t>2026-06-10 17:00:00</t>
  </si>
  <si>
    <t>2026-06-10 18:00:00</t>
  </si>
  <si>
    <t>2026-06-10 19:00:00</t>
  </si>
  <si>
    <t>2026-06-10 20:00:00</t>
  </si>
  <si>
    <t>2026-06-10 21:00:00</t>
  </si>
  <si>
    <t>2026-06-10 22:00:00</t>
  </si>
  <si>
    <t>2026-06-10 23:00:00</t>
  </si>
  <si>
    <t>2026-06-11 00:00:00</t>
  </si>
  <si>
    <t>2026-06-11 01:00:00</t>
  </si>
  <si>
    <t>2026-06-11 02:00:00</t>
  </si>
  <si>
    <t>2026-06-11 03:00:00</t>
  </si>
  <si>
    <t>2026-06-11 04:00:00</t>
  </si>
  <si>
    <t>2026-06-11 05:00:00</t>
  </si>
  <si>
    <t>2026-06-11 06:00:00</t>
  </si>
  <si>
    <t>2026-06-11 07:00:00</t>
  </si>
  <si>
    <t>2026-06-11 08:00:00</t>
  </si>
  <si>
    <t>2026-06-11 09:00:00</t>
  </si>
  <si>
    <t>2026-06-11 10:00:00</t>
  </si>
  <si>
    <t>2026-06-11 11:00:00</t>
  </si>
  <si>
    <t>2026-06-11 12:00:00</t>
  </si>
  <si>
    <t>2026-06-11 13:00:00</t>
  </si>
  <si>
    <t>2026-06-11 14:00:00</t>
  </si>
  <si>
    <t>2026-06-11 15:00:00</t>
  </si>
  <si>
    <t>2026-06-11 16:00:00</t>
  </si>
  <si>
    <t>2026-06-11 17:00:00</t>
  </si>
  <si>
    <t>2026-06-11 18:00:00</t>
  </si>
  <si>
    <t>2026-06-11 19:00:00</t>
  </si>
  <si>
    <t>2026-06-11 20:00:00</t>
  </si>
  <si>
    <t>2026-06-11 21:00:00</t>
  </si>
  <si>
    <t>2026-06-11 22:00:00</t>
  </si>
  <si>
    <t>2026-06-11 23:00:00</t>
  </si>
  <si>
    <t>2026-06-12 00:00:00</t>
  </si>
  <si>
    <t>2026-06-12 01:00:00</t>
  </si>
  <si>
    <t>2026-06-12 02:00:00</t>
  </si>
  <si>
    <t>2026-06-12 03:00:00</t>
  </si>
  <si>
    <t>2026-06-12 04:00:00</t>
  </si>
  <si>
    <t>2026-06-12 05:00:00</t>
  </si>
  <si>
    <t>2026-06-12 06:00:00</t>
  </si>
  <si>
    <t>2026-06-12 07:00:00</t>
  </si>
  <si>
    <t>2026-06-12 08:00:00</t>
  </si>
  <si>
    <t>2026-06-12 09:00:00</t>
  </si>
  <si>
    <t>2026-06-12 10:00:00</t>
  </si>
  <si>
    <t>2026-06-12 11:00:00</t>
  </si>
  <si>
    <t>2026-06-12 12:00:00</t>
  </si>
  <si>
    <t>2026-06-12 13:00:00</t>
  </si>
  <si>
    <t>2026-06-12 14:00:00</t>
  </si>
  <si>
    <t>2026-06-12 15:00:00</t>
  </si>
  <si>
    <t>2026-06-12 16:00:00</t>
  </si>
  <si>
    <t>2026-06-12 17:00:00</t>
  </si>
  <si>
    <t>2026-06-12 18:00:00</t>
  </si>
  <si>
    <t>2026-06-12 19:00:00</t>
  </si>
  <si>
    <t>2026-06-12 20:00:00</t>
  </si>
  <si>
    <t>2026-06-12 21:00:00</t>
  </si>
  <si>
    <t>2026-06-12 22:00:00</t>
  </si>
  <si>
    <t>2026-06-12 23:00:00</t>
  </si>
  <si>
    <t>2026-06-13 00:00:00</t>
  </si>
  <si>
    <t>2026-06-13 01:00:00</t>
  </si>
  <si>
    <t>2026-06-13 02:00:00</t>
  </si>
  <si>
    <t>2026-06-13 03:00:00</t>
  </si>
  <si>
    <t>2026-06-13 04:00:00</t>
  </si>
  <si>
    <t>2026-06-13 05:00:00</t>
  </si>
  <si>
    <t>2026-06-13 06:00:00</t>
  </si>
  <si>
    <t>2026-06-13 07:00:00</t>
  </si>
  <si>
    <t>2026-06-13 08:00:00</t>
  </si>
  <si>
    <t>2026-06-13 09:00:00</t>
  </si>
  <si>
    <t>2026-06-13 10:00:00</t>
  </si>
  <si>
    <t>2026-06-13 11:00:00</t>
  </si>
  <si>
    <t>2026-06-13 12:00:00</t>
  </si>
  <si>
    <t>2026-06-13 13:00:00</t>
  </si>
  <si>
    <t>2026-06-13 14:00:00</t>
  </si>
  <si>
    <t>2026-06-13 15:00:00</t>
  </si>
  <si>
    <t>2026-06-13 16:00:00</t>
  </si>
  <si>
    <t>2026-06-13 17:00:00</t>
  </si>
  <si>
    <t>2026-06-13 18:00:00</t>
  </si>
  <si>
    <t>2026-06-13 19:00:00</t>
  </si>
  <si>
    <t>2026-06-13 20:00:00</t>
  </si>
  <si>
    <t>2026-06-13 21:00:00</t>
  </si>
  <si>
    <t>2026-06-13 22:00:00</t>
  </si>
  <si>
    <t>2026-06-13 23:00:00</t>
  </si>
  <si>
    <t>2026-06-14 00:00:00</t>
  </si>
  <si>
    <t>2026-06-14 01:00:00</t>
  </si>
  <si>
    <t>2026-06-14 02:00:00</t>
  </si>
  <si>
    <t>2026-06-14 03:00:00</t>
  </si>
  <si>
    <t>2026-06-14 04:00:00</t>
  </si>
  <si>
    <t>2026-06-14 05:00:00</t>
  </si>
  <si>
    <t>2026-06-14 06:00:00</t>
  </si>
  <si>
    <t>2026-06-14 07:00:00</t>
  </si>
  <si>
    <t>2026-06-14 08:00:00</t>
  </si>
  <si>
    <t>2026-06-14 09:00:00</t>
  </si>
  <si>
    <t>2026-06-14 10:00:00</t>
  </si>
  <si>
    <t>2026-06-14 11:00:00</t>
  </si>
  <si>
    <t>2026-06-14 12:00:00</t>
  </si>
  <si>
    <t>2026-06-14 13:00:00</t>
  </si>
  <si>
    <t>2026-06-14 14:00:00</t>
  </si>
  <si>
    <t>2026-06-14 15:00:00</t>
  </si>
  <si>
    <t>2026-06-14 16:00:00</t>
  </si>
  <si>
    <t>2026-06-14 17:00:00</t>
  </si>
  <si>
    <t>2026-06-14 18:00:00</t>
  </si>
  <si>
    <t>2026-06-14 19:00:00</t>
  </si>
  <si>
    <t>2026-06-14 20:00:00</t>
  </si>
  <si>
    <t>2026-06-14 21:00:00</t>
  </si>
  <si>
    <t>2026-06-14 22:00:00</t>
  </si>
  <si>
    <t>2026-06-14 23:00:00</t>
  </si>
  <si>
    <t>1851539669496844</t>
  </si>
  <si>
    <t>知星-胡士托-首次付费-600097011-户16</t>
  </si>
  <si>
    <t>1851539670479884</t>
  </si>
  <si>
    <t>知星-胡士托-首次付费-600097012-户17</t>
  </si>
  <si>
    <t>1851539672327244</t>
  </si>
  <si>
    <t>知星-胡士托-付费ROI-600097371-户19</t>
  </si>
  <si>
    <t>1854090404322570</t>
  </si>
  <si>
    <t>知星-亿万-1</t>
  </si>
  <si>
    <t>2026-06-01 00:00:00</t>
  </si>
  <si>
    <t>2026-06-01 01:00:00</t>
  </si>
  <si>
    <t>2026-06-01 02:00:00</t>
  </si>
  <si>
    <t>2026-06-01 03:00:00</t>
  </si>
  <si>
    <t>2026-06-01 04:00:00</t>
  </si>
  <si>
    <t>2026-06-01 05:00:00</t>
  </si>
  <si>
    <t>2026-06-01 06:00:00</t>
  </si>
  <si>
    <t>2026-06-01 07:00:00</t>
  </si>
  <si>
    <t>2026-06-01 08:00:00</t>
  </si>
  <si>
    <t>2026-06-01 09:00:00</t>
  </si>
  <si>
    <t>2026-06-01 10:00:00</t>
  </si>
  <si>
    <t>2026-06-01 11:00:00</t>
  </si>
  <si>
    <t>2026-06-01 12:00:00</t>
  </si>
  <si>
    <t>2026-06-01 13:00:00</t>
  </si>
  <si>
    <t>2026-06-01 14:00:00</t>
  </si>
  <si>
    <t>2026-06-01 15:00:00</t>
  </si>
  <si>
    <t>2026-06-01 16:00:00</t>
  </si>
  <si>
    <t>2026-06-01 17:00:00</t>
  </si>
  <si>
    <t>2026-06-01 18:00:00</t>
  </si>
  <si>
    <t>2026-06-01 19:00:00</t>
  </si>
  <si>
    <t>2026-06-01 20:00:00</t>
  </si>
  <si>
    <t>2026-06-01 21:00:00</t>
  </si>
  <si>
    <t>2026-06-01 22:00:00</t>
  </si>
  <si>
    <t>2026-06-01 23:00:00</t>
  </si>
  <si>
    <t>2026-06-02 00:00:00</t>
  </si>
  <si>
    <t>2026-06-02 01:00:00</t>
  </si>
  <si>
    <t>2026-06-02 02:00:00</t>
  </si>
  <si>
    <t>2026-06-02 03:00:00</t>
  </si>
  <si>
    <t>2026-06-02 04:00:00</t>
  </si>
  <si>
    <t>2026-06-02 05:00:00</t>
  </si>
  <si>
    <t>2026-06-02 06:00:00</t>
  </si>
  <si>
    <t>2026-06-02 07:00:00</t>
  </si>
  <si>
    <t>2026-06-02 08:00:00</t>
  </si>
  <si>
    <t>2026-06-02 09:00:00</t>
  </si>
  <si>
    <t>2026-06-02 10:00:00</t>
  </si>
  <si>
    <t>2026-06-02 11:00:00</t>
  </si>
  <si>
    <t>2026-06-02 12:00:00</t>
  </si>
  <si>
    <t>2026-06-02 13:00:00</t>
  </si>
  <si>
    <t>2026-06-02 14:00:00</t>
  </si>
  <si>
    <t>2026-06-02 15:00:00</t>
  </si>
  <si>
    <t>2026-06-02 16:00:00</t>
  </si>
  <si>
    <t>2026-06-02 17:00:00</t>
  </si>
  <si>
    <t>2026-06-02 18:00:00</t>
  </si>
  <si>
    <t>2026-06-02 19:00:00</t>
  </si>
  <si>
    <t>2026-06-02 20:00:00</t>
  </si>
  <si>
    <t>2026-06-02 21:00:00</t>
  </si>
  <si>
    <t>2026-06-02 22:00:00</t>
  </si>
  <si>
    <t>2026-06-02 23:00:00</t>
  </si>
  <si>
    <t>2026-06-03 00:00:00</t>
  </si>
  <si>
    <t>2026-06-03 01:00:00</t>
  </si>
  <si>
    <t>2026-06-03 02:00:00</t>
  </si>
  <si>
    <t>2026-06-03 03:00:00</t>
  </si>
  <si>
    <t>2026-06-03 04:00:00</t>
  </si>
  <si>
    <t>2026-06-03 05:00:00</t>
  </si>
  <si>
    <t>2026-06-03 06:00:00</t>
  </si>
  <si>
    <t>2026-06-03 07:00:00</t>
  </si>
  <si>
    <t>2026-06-03 08:00:00</t>
  </si>
  <si>
    <t>2026-06-03 09:00:00</t>
  </si>
  <si>
    <t>2026-06-03 10:00:00</t>
  </si>
  <si>
    <t>2026-06-03 11:00:00</t>
  </si>
  <si>
    <t>2026-06-03 12:00:00</t>
  </si>
  <si>
    <t>2026-06-03 13:00:00</t>
  </si>
  <si>
    <t>2026-06-03 14:00:00</t>
  </si>
  <si>
    <t>2026-06-03 15:00:00</t>
  </si>
  <si>
    <t>2026-06-03 16:00:00</t>
  </si>
  <si>
    <t>2026-06-03 17:00:00</t>
  </si>
  <si>
    <t>2026-06-03 18:00:00</t>
  </si>
  <si>
    <t>2026-06-03 19:00:00</t>
  </si>
  <si>
    <t>2026-06-03 20:00:00</t>
  </si>
  <si>
    <t>2026-06-03 21:00:00</t>
  </si>
  <si>
    <t>2026-06-03 22:00:00</t>
  </si>
  <si>
    <t>2026-06-03 23:00:00</t>
  </si>
  <si>
    <t>2026-06-04 00:00:00</t>
  </si>
  <si>
    <t>2026-06-04 01:00:00</t>
  </si>
  <si>
    <t>2026-06-04 02:00:00</t>
  </si>
  <si>
    <t>2026-06-04 03:00:00</t>
  </si>
  <si>
    <t>2026-06-04 04:00:00</t>
  </si>
  <si>
    <t>2026-06-04 05:00:00</t>
  </si>
  <si>
    <t>2026-06-04 06:00:00</t>
  </si>
  <si>
    <t>2026-06-04 07:00:00</t>
  </si>
  <si>
    <t>2026-06-04 08:00:00</t>
  </si>
  <si>
    <t>2026-06-04 09:00:00</t>
  </si>
  <si>
    <t>2026-06-04 10:00:00</t>
  </si>
  <si>
    <t>2026-06-04 11:00:00</t>
  </si>
  <si>
    <t>2026-06-04 12:00:00</t>
  </si>
  <si>
    <t>2026-06-04 13:00:00</t>
  </si>
  <si>
    <t>2026-06-04 14:00:00</t>
  </si>
  <si>
    <t>2026-06-04 15:00:00</t>
  </si>
  <si>
    <t>2026-06-04 16:00:00</t>
  </si>
  <si>
    <t>2026-06-04 17:00:00</t>
  </si>
  <si>
    <t>2026-06-04 18:00:00</t>
  </si>
  <si>
    <t>2026-06-04 19:00:00</t>
  </si>
  <si>
    <t>2026-06-04 20:00:00</t>
  </si>
  <si>
    <t>2026-06-04 21:00:00</t>
  </si>
  <si>
    <t>2026-06-04 22:00:00</t>
  </si>
  <si>
    <t>2026-06-04 23:00:00</t>
  </si>
  <si>
    <t>2026-06-05 00:00:00</t>
  </si>
  <si>
    <t>2026-06-05 01:00:00</t>
  </si>
  <si>
    <t>2026-06-05 02:00:00</t>
  </si>
  <si>
    <t>2026-06-05 03:00:00</t>
  </si>
  <si>
    <t>2026-06-05 04:00:00</t>
  </si>
  <si>
    <t>2026-06-05 05:00:00</t>
  </si>
  <si>
    <t>2026-06-05 06:00:00</t>
  </si>
  <si>
    <t>2026-06-05 07:00:00</t>
  </si>
  <si>
    <t>2026-06-05 08:00:00</t>
  </si>
  <si>
    <t>2026-06-05 09:00:00</t>
  </si>
  <si>
    <t>2026-06-05 10:00:00</t>
  </si>
  <si>
    <t>2026-06-05 11:00:00</t>
  </si>
  <si>
    <t>2026-06-05 12:00:00</t>
  </si>
  <si>
    <t>2026-06-05 13:00:00</t>
  </si>
  <si>
    <t>2026-06-05 14:00:00</t>
  </si>
  <si>
    <t>2026-06-05 15:00:00</t>
  </si>
  <si>
    <t>2026-06-05 16:00:00</t>
  </si>
  <si>
    <t>2026-06-05 17:00:00</t>
  </si>
  <si>
    <t>2026-06-05 18:00:00</t>
  </si>
  <si>
    <t>2026-06-05 19:00:00</t>
  </si>
  <si>
    <t>2026-06-05 20:00:00</t>
  </si>
  <si>
    <t>2026-06-05 21:00:00</t>
  </si>
  <si>
    <t>2026-06-05 22:00:00</t>
  </si>
  <si>
    <t>2026-06-05 23:00:00</t>
  </si>
  <si>
    <t>2026-06-06 00:00:00</t>
  </si>
  <si>
    <t>2026-06-06 01:00:00</t>
  </si>
  <si>
    <t>2026-06-06 02:00:00</t>
  </si>
  <si>
    <t>2026-06-06 03:00:00</t>
  </si>
  <si>
    <t>2026-06-06 04:00:00</t>
  </si>
  <si>
    <t>2026-06-06 05:00:00</t>
  </si>
  <si>
    <t>2026-06-06 06:00:00</t>
  </si>
  <si>
    <t>2026-06-06 07:00:00</t>
  </si>
  <si>
    <t>2026-06-06 08:00:00</t>
  </si>
  <si>
    <t>2026-06-06 09:00:00</t>
  </si>
  <si>
    <t>2026-06-06 10:00:00</t>
  </si>
  <si>
    <t>2026-06-06 11:00:00</t>
  </si>
  <si>
    <t>2026-06-06 12:00:00</t>
  </si>
  <si>
    <t>2026-06-06 13:00:00</t>
  </si>
  <si>
    <t>2026-06-06 14:00:00</t>
  </si>
  <si>
    <t>2026-06-06 15:00:00</t>
  </si>
  <si>
    <t>2026-06-06 16:00:00</t>
  </si>
  <si>
    <t>2026-06-06 17:00:00</t>
  </si>
  <si>
    <t>2026-06-06 18:00:00</t>
  </si>
  <si>
    <t>2026-06-06 19:00:00</t>
  </si>
  <si>
    <t>2026-06-06 20:00:00</t>
  </si>
  <si>
    <t>2026-06-06 21:00:00</t>
  </si>
  <si>
    <t>2026-06-06 22:00:00</t>
  </si>
  <si>
    <t>2026-06-06 23:00:00</t>
  </si>
  <si>
    <t>2026-06-07 00:00:00</t>
  </si>
  <si>
    <t>2026-06-07 01:00:00</t>
  </si>
  <si>
    <t>2026-06-07 02:00:00</t>
  </si>
  <si>
    <t>2026-06-07 03:00:00</t>
  </si>
  <si>
    <t>2026-06-07 04:00:00</t>
  </si>
  <si>
    <t>2026-06-07 05:00:00</t>
  </si>
  <si>
    <t>2026-06-07 06:00:00</t>
  </si>
  <si>
    <t>2026-06-07 07:00:00</t>
  </si>
  <si>
    <t>2026-06-07 08:00:00</t>
  </si>
  <si>
    <t>2026-06-07 09:00:00</t>
  </si>
  <si>
    <t>2026-06-07 10:00:00</t>
  </si>
  <si>
    <t>2026-06-07 11:00:00</t>
  </si>
  <si>
    <t>2026-06-07 12:00:00</t>
  </si>
  <si>
    <t>2026-06-07 13:00:00</t>
  </si>
  <si>
    <t>2026-06-07 14:00:00</t>
  </si>
  <si>
    <t>2026-06-07 15:00:00</t>
  </si>
  <si>
    <t>2026-06-07 16:00:00</t>
  </si>
  <si>
    <t>2026-06-07 17:00:00</t>
  </si>
  <si>
    <t>2026-06-07 18:00:00</t>
  </si>
  <si>
    <t>2026-06-07 19:00:00</t>
  </si>
  <si>
    <t>2026-06-07 20:00:00</t>
  </si>
  <si>
    <t>2026-06-07 21:00:00</t>
  </si>
  <si>
    <t>2026-06-07 22:00:00</t>
  </si>
  <si>
    <t>2026-06-07 23:00:00</t>
  </si>
  <si>
    <t>1851539667438656</t>
  </si>
  <si>
    <t>知星-胡士托-每付-600096651-户14</t>
  </si>
  <si>
    <t>1851539668548620</t>
  </si>
  <si>
    <t>知星-胡士托-每付-600096649-户15</t>
  </si>
  <si>
    <t>1854090404839627</t>
  </si>
  <si>
    <t>知星-亿万-6</t>
  </si>
  <si>
    <t>渠道</t>
  </si>
  <si>
    <t>运营方式</t>
  </si>
  <si>
    <t>ltv0</t>
  </si>
  <si>
    <t>ltv3</t>
  </si>
  <si>
    <t>ltv7</t>
  </si>
  <si>
    <t>6.1-6.7</t>
  </si>
  <si>
    <t>信息流</t>
  </si>
  <si>
    <t>代理</t>
  </si>
  <si>
    <t>自理</t>
  </si>
  <si>
    <t>商店</t>
  </si>
  <si>
    <t>6.8-6.14</t>
  </si>
  <si>
    <t>数据缓存中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</si>
</sst>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_ "/>
    <numFmt numFmtId="178" formatCode="0.00_);[Red]\(0.00\)"/>
    <numFmt numFmtId="179" formatCode="0_ "/>
    <numFmt numFmtId="180" formatCode="0.0_ "/>
  </numFmts>
  <fonts count="34">
    <font>
      <sz val="11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1"/>
      <color theme="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i/>
      <sz val="11"/>
      <color theme="1"/>
      <name val="Calibri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-简"/>
      <charset val="134"/>
    </font>
    <font>
      <sz val="11"/>
      <color theme="1"/>
      <name val="Calibri"/>
      <charset val="134"/>
    </font>
    <font>
      <sz val="11"/>
      <color theme="1"/>
      <name val="宋体-简"/>
      <charset val="134"/>
    </font>
    <font>
      <sz val="11"/>
      <color rgb="FFFF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000000"/>
      <name val="Calibri"/>
      <charset val="134"/>
    </font>
    <font>
      <b/>
      <sz val="10"/>
      <color rgb="FF000000"/>
      <name val="宋体"/>
      <charset val="134"/>
      <scheme val="minor"/>
    </font>
    <font>
      <sz val="9"/>
      <color rgb="FF000000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7" borderId="9" applyNumberFormat="0" applyAlignment="0" applyProtection="0">
      <alignment vertical="center"/>
    </xf>
    <xf numFmtId="0" fontId="26" fillId="8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2" fillId="0" borderId="0"/>
  </cellStyleXfs>
  <cellXfs count="9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7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0" fontId="2" fillId="0" borderId="1" xfId="3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3" fillId="0" borderId="1" xfId="3" applyNumberFormat="1" applyFont="1" applyFill="1" applyBorder="1" applyAlignment="1" applyProtection="1">
      <alignment horizontal="center"/>
    </xf>
    <xf numFmtId="1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3" fillId="0" borderId="1" xfId="3" applyNumberFormat="1" applyFont="1" applyFill="1" applyBorder="1" applyAlignment="1" applyProtection="1">
      <alignment horizontal="center" wrapText="1"/>
    </xf>
    <xf numFmtId="0" fontId="2" fillId="0" borderId="1" xfId="3" applyNumberFormat="1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/>
    </xf>
    <xf numFmtId="0" fontId="6" fillId="0" borderId="0" xfId="0" applyFont="1">
      <alignment vertical="center"/>
    </xf>
    <xf numFmtId="0" fontId="2" fillId="0" borderId="0" xfId="0" applyFont="1" applyFill="1" applyAlignment="1"/>
    <xf numFmtId="0" fontId="7" fillId="0" borderId="0" xfId="0" applyFont="1" applyFill="1" applyAlignment="1"/>
    <xf numFmtId="0" fontId="8" fillId="0" borderId="0" xfId="0" applyFont="1" applyFill="1" applyAlignment="1"/>
    <xf numFmtId="0" fontId="9" fillId="0" borderId="0" xfId="0" applyFont="1" applyFill="1" applyAlignment="1"/>
    <xf numFmtId="0" fontId="10" fillId="2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4" fontId="11" fillId="0" borderId="2" xfId="0" applyNumberFormat="1" applyFont="1" applyBorder="1" applyAlignment="1">
      <alignment horizontal="center" vertical="center"/>
    </xf>
    <xf numFmtId="0" fontId="2" fillId="0" borderId="0" xfId="49" applyFont="1" applyFill="1" applyAlignment="1">
      <alignment horizontal="center"/>
    </xf>
    <xf numFmtId="177" fontId="2" fillId="0" borderId="0" xfId="0" applyNumberFormat="1" applyFont="1" applyFill="1" applyBorder="1" applyAlignment="1">
      <alignment horizontal="center"/>
    </xf>
    <xf numFmtId="10" fontId="2" fillId="0" borderId="0" xfId="3" applyNumberFormat="1" applyFont="1" applyFill="1" applyBorder="1" applyAlignment="1">
      <alignment horizontal="center"/>
    </xf>
    <xf numFmtId="177" fontId="2" fillId="0" borderId="0" xfId="0" applyNumberFormat="1" applyFont="1" applyFill="1" applyAlignment="1">
      <alignment horizontal="center"/>
    </xf>
    <xf numFmtId="10" fontId="2" fillId="0" borderId="0" xfId="3" applyNumberFormat="1" applyFont="1" applyFill="1" applyAlignment="1">
      <alignment horizontal="center"/>
    </xf>
    <xf numFmtId="10" fontId="2" fillId="0" borderId="0" xfId="3" applyNumberFormat="1" applyFont="1" applyFill="1" applyBorder="1" applyAlignment="1" applyProtection="1">
      <alignment horizontal="center"/>
    </xf>
    <xf numFmtId="0" fontId="12" fillId="0" borderId="0" xfId="0" applyFont="1" applyAlignment="1">
      <alignment horizontal="center"/>
    </xf>
    <xf numFmtId="0" fontId="0" fillId="3" borderId="0" xfId="0" applyFill="1" applyBorder="1" applyAlignment="1">
      <alignment horizontal="center" vertical="center" wrapText="1"/>
    </xf>
    <xf numFmtId="177" fontId="2" fillId="3" borderId="0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177" fontId="0" fillId="3" borderId="0" xfId="0" applyNumberFormat="1" applyFill="1" applyBorder="1" applyAlignment="1">
      <alignment horizontal="center" vertical="center" wrapText="1"/>
    </xf>
    <xf numFmtId="10" fontId="2" fillId="3" borderId="0" xfId="3" applyNumberFormat="1" applyFont="1" applyFill="1" applyAlignment="1">
      <alignment horizontal="center"/>
    </xf>
    <xf numFmtId="10" fontId="0" fillId="3" borderId="0" xfId="0" applyNumberFormat="1" applyFill="1" applyBorder="1" applyAlignment="1">
      <alignment horizontal="center" vertical="center" wrapText="1"/>
    </xf>
    <xf numFmtId="10" fontId="2" fillId="3" borderId="0" xfId="3" applyNumberFormat="1" applyFont="1" applyFill="1" applyBorder="1" applyAlignment="1" applyProtection="1">
      <alignment horizontal="center"/>
    </xf>
    <xf numFmtId="10" fontId="0" fillId="3" borderId="0" xfId="3" applyNumberFormat="1" applyFill="1" applyAlignment="1">
      <alignment horizontal="center" vertical="center"/>
    </xf>
    <xf numFmtId="0" fontId="8" fillId="0" borderId="0" xfId="49" applyFont="1" applyFill="1" applyAlignment="1"/>
    <xf numFmtId="10" fontId="8" fillId="0" borderId="0" xfId="3" applyNumberFormat="1" applyFont="1" applyFill="1" applyBorder="1" applyAlignment="1" applyProtection="1">
      <alignment horizontal="center"/>
    </xf>
    <xf numFmtId="10" fontId="8" fillId="4" borderId="0" xfId="3" applyNumberFormat="1" applyFont="1" applyFill="1" applyBorder="1" applyAlignment="1" applyProtection="1">
      <alignment horizontal="center"/>
    </xf>
    <xf numFmtId="10" fontId="8" fillId="3" borderId="0" xfId="3" applyNumberFormat="1" applyFont="1" applyFill="1" applyBorder="1" applyAlignment="1" applyProtection="1">
      <alignment horizontal="center"/>
    </xf>
    <xf numFmtId="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9" fontId="0" fillId="2" borderId="0" xfId="3" applyFill="1" applyAlignment="1">
      <alignment horizontal="center" vertical="center"/>
    </xf>
    <xf numFmtId="14" fontId="13" fillId="2" borderId="0" xfId="0" applyNumberFormat="1" applyFont="1" applyFill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77" fontId="13" fillId="2" borderId="0" xfId="0" applyNumberFormat="1" applyFont="1" applyFill="1" applyBorder="1" applyAlignment="1">
      <alignment horizontal="center" vertical="center"/>
    </xf>
    <xf numFmtId="10" fontId="13" fillId="2" borderId="0" xfId="0" applyNumberFormat="1" applyFont="1" applyFill="1" applyBorder="1" applyAlignment="1">
      <alignment horizontal="center" vertical="center"/>
    </xf>
    <xf numFmtId="177" fontId="2" fillId="2" borderId="0" xfId="0" applyNumberFormat="1" applyFont="1" applyFill="1" applyBorder="1" applyAlignment="1">
      <alignment horizontal="center"/>
    </xf>
    <xf numFmtId="179" fontId="2" fillId="2" borderId="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 vertical="center"/>
    </xf>
    <xf numFmtId="10" fontId="2" fillId="2" borderId="0" xfId="3" applyNumberFormat="1" applyFont="1" applyFill="1" applyBorder="1" applyAlignment="1">
      <alignment horizontal="center"/>
    </xf>
    <xf numFmtId="10" fontId="2" fillId="0" borderId="0" xfId="3" applyNumberFormat="1" applyFont="1" applyFill="1" applyAlignment="1">
      <alignment horizontal="center" wrapText="1"/>
    </xf>
    <xf numFmtId="10" fontId="2" fillId="2" borderId="0" xfId="3" applyNumberFormat="1" applyFont="1" applyFill="1" applyAlignment="1">
      <alignment horizontal="center" wrapText="1"/>
    </xf>
    <xf numFmtId="177" fontId="0" fillId="2" borderId="0" xfId="0" applyNumberFormat="1" applyFill="1" applyBorder="1" applyAlignment="1">
      <alignment horizontal="center" vertical="center"/>
    </xf>
    <xf numFmtId="179" fontId="0" fillId="2" borderId="0" xfId="0" applyNumberFormat="1" applyFill="1" applyBorder="1" applyAlignment="1">
      <alignment horizontal="center" vertical="center"/>
    </xf>
    <xf numFmtId="10" fontId="0" fillId="2" borderId="0" xfId="3" applyNumberFormat="1" applyFill="1" applyBorder="1" applyAlignment="1">
      <alignment horizontal="center" vertical="center"/>
    </xf>
    <xf numFmtId="10" fontId="0" fillId="2" borderId="0" xfId="3" applyNumberFormat="1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10" fontId="12" fillId="0" borderId="2" xfId="0" applyNumberFormat="1" applyFont="1" applyBorder="1" applyAlignment="1">
      <alignment horizontal="center"/>
    </xf>
    <xf numFmtId="4" fontId="11" fillId="0" borderId="4" xfId="0" applyNumberFormat="1" applyFont="1" applyBorder="1" applyAlignment="1">
      <alignment horizontal="center" vertical="center"/>
    </xf>
    <xf numFmtId="4" fontId="11" fillId="0" borderId="3" xfId="0" applyNumberFormat="1" applyFont="1" applyBorder="1" applyAlignment="1">
      <alignment horizontal="center" vertical="center"/>
    </xf>
    <xf numFmtId="4" fontId="11" fillId="0" borderId="3" xfId="0" applyNumberFormat="1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10" fontId="12" fillId="0" borderId="2" xfId="0" applyNumberFormat="1" applyFont="1" applyBorder="1" applyAlignment="1">
      <alignment horizontal="center"/>
    </xf>
    <xf numFmtId="180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center"/>
    </xf>
    <xf numFmtId="177" fontId="2" fillId="3" borderId="1" xfId="0" applyNumberFormat="1" applyFont="1" applyFill="1" applyBorder="1" applyAlignment="1">
      <alignment horizontal="center" wrapText="1"/>
    </xf>
    <xf numFmtId="10" fontId="2" fillId="3" borderId="1" xfId="3" applyNumberFormat="1" applyFont="1" applyFill="1" applyBorder="1" applyAlignment="1">
      <alignment horizontal="center" wrapText="1"/>
    </xf>
    <xf numFmtId="10" fontId="2" fillId="3" borderId="1" xfId="3" applyNumberFormat="1" applyFont="1" applyFill="1" applyBorder="1" applyAlignment="1">
      <alignment horizontal="center" vertical="center" wrapText="1"/>
    </xf>
    <xf numFmtId="10" fontId="12" fillId="3" borderId="2" xfId="0" applyNumberFormat="1" applyFont="1" applyFill="1" applyBorder="1" applyAlignment="1">
      <alignment horizontal="center" wrapText="1"/>
    </xf>
    <xf numFmtId="10" fontId="2" fillId="3" borderId="1" xfId="3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4" fillId="0" borderId="0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D16" sqref="D16"/>
    </sheetView>
  </sheetViews>
  <sheetFormatPr defaultColWidth="9" defaultRowHeight="16.8"/>
  <cols>
    <col min="1" max="1" width="10.5576923076923" style="70" customWidth="1"/>
    <col min="2" max="2" width="9" style="70"/>
    <col min="3" max="3" width="19.7788461538462" style="70"/>
    <col min="4" max="4" width="15.2211538461538" style="70"/>
    <col min="5" max="6" width="12.8846153846154" style="70"/>
    <col min="7" max="7" width="13" style="70"/>
    <col min="8" max="8" width="10.3365384615385" style="70" customWidth="1"/>
    <col min="9" max="9" width="12.8846153846154" style="70"/>
    <col min="10" max="10" width="16.4423076923077" style="70"/>
    <col min="11" max="11" width="14.5576923076923" style="70" customWidth="1"/>
    <col min="12" max="12" width="12.8846153846154" style="70"/>
    <col min="13" max="13" width="12.8846153846154"/>
  </cols>
  <sheetData>
    <row r="1" spans="1:13">
      <c r="A1" s="71" t="s">
        <v>0</v>
      </c>
      <c r="B1" s="71" t="s">
        <v>1</v>
      </c>
      <c r="C1" s="71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1" t="s">
        <v>0</v>
      </c>
      <c r="I1" s="71" t="s">
        <v>1</v>
      </c>
      <c r="J1" s="71" t="s">
        <v>2</v>
      </c>
      <c r="K1" s="72" t="s">
        <v>3</v>
      </c>
      <c r="L1" s="72" t="s">
        <v>4</v>
      </c>
      <c r="M1" s="72" t="s">
        <v>5</v>
      </c>
    </row>
    <row r="2" spans="1:13">
      <c r="A2" s="73">
        <v>6.1</v>
      </c>
      <c r="B2" s="74">
        <v>1</v>
      </c>
      <c r="C2" s="75">
        <v>8687.79</v>
      </c>
      <c r="D2" s="76">
        <v>2.62</v>
      </c>
      <c r="E2" s="77">
        <v>0.1931</v>
      </c>
      <c r="F2" s="78">
        <v>0.2783</v>
      </c>
      <c r="G2" s="78">
        <v>0.5269</v>
      </c>
      <c r="H2" s="73">
        <v>6.8</v>
      </c>
      <c r="I2" s="74">
        <v>8</v>
      </c>
      <c r="J2" s="75">
        <v>11036.19</v>
      </c>
      <c r="K2" s="79">
        <v>2.62</v>
      </c>
      <c r="L2" s="77">
        <v>0.4252</v>
      </c>
      <c r="M2" s="78">
        <v>0.7326</v>
      </c>
    </row>
    <row r="3" spans="1:13">
      <c r="A3" s="73"/>
      <c r="B3" s="74">
        <v>2</v>
      </c>
      <c r="C3" s="75">
        <v>17462.2</v>
      </c>
      <c r="D3" s="76">
        <v>1.53</v>
      </c>
      <c r="E3" s="77">
        <v>0.1312</v>
      </c>
      <c r="F3" s="78">
        <v>0.1963</v>
      </c>
      <c r="G3" s="78">
        <v>0.2936</v>
      </c>
      <c r="H3" s="73"/>
      <c r="I3" s="74">
        <v>9</v>
      </c>
      <c r="J3" s="75">
        <v>13375.63</v>
      </c>
      <c r="K3" s="79">
        <v>1.53</v>
      </c>
      <c r="L3" s="77">
        <v>0.1688</v>
      </c>
      <c r="M3" s="78">
        <v>0.3387</v>
      </c>
    </row>
    <row r="4" spans="1:13">
      <c r="A4" s="73"/>
      <c r="B4" s="74">
        <v>3</v>
      </c>
      <c r="C4" s="75">
        <v>13599.5</v>
      </c>
      <c r="D4" s="80">
        <v>2.66</v>
      </c>
      <c r="E4" s="77">
        <v>0.1569</v>
      </c>
      <c r="F4" s="78">
        <v>0.2699</v>
      </c>
      <c r="G4" s="78">
        <v>0.3535</v>
      </c>
      <c r="H4" s="73"/>
      <c r="I4" s="74">
        <v>10</v>
      </c>
      <c r="J4" s="75">
        <v>10941.79</v>
      </c>
      <c r="K4" s="81">
        <v>2.66</v>
      </c>
      <c r="L4" s="77">
        <v>0.3395</v>
      </c>
      <c r="M4" s="78">
        <v>0.6855</v>
      </c>
    </row>
    <row r="5" ht="14.4" customHeight="1" spans="1:13">
      <c r="A5" s="73"/>
      <c r="B5" s="74">
        <v>4</v>
      </c>
      <c r="C5" s="75">
        <v>7081.76</v>
      </c>
      <c r="D5" s="82">
        <v>3.98</v>
      </c>
      <c r="E5" s="77">
        <v>0.2574</v>
      </c>
      <c r="F5" s="78">
        <v>0.4133</v>
      </c>
      <c r="G5" s="78">
        <v>0.4231</v>
      </c>
      <c r="H5" s="73"/>
      <c r="I5" s="74">
        <v>11</v>
      </c>
      <c r="J5" s="75">
        <v>21139.76</v>
      </c>
      <c r="K5" s="81">
        <v>3.98</v>
      </c>
      <c r="L5" s="77">
        <v>0.2376</v>
      </c>
      <c r="M5" s="78">
        <v>0.3313</v>
      </c>
    </row>
    <row r="6" ht="14.4" customHeight="1" spans="1:13">
      <c r="A6" s="73"/>
      <c r="B6" s="74">
        <v>5</v>
      </c>
      <c r="C6" s="83">
        <v>6424.76</v>
      </c>
      <c r="D6" s="82">
        <v>1.88</v>
      </c>
      <c r="E6" s="77">
        <v>0.1413</v>
      </c>
      <c r="F6" s="78">
        <v>0.1895</v>
      </c>
      <c r="G6" s="78">
        <v>0.2763</v>
      </c>
      <c r="H6" s="73"/>
      <c r="I6" s="74">
        <v>12</v>
      </c>
      <c r="J6" s="75">
        <v>13732.6</v>
      </c>
      <c r="K6" s="81">
        <v>1.88</v>
      </c>
      <c r="L6" s="77">
        <v>0.1416</v>
      </c>
      <c r="M6" s="84">
        <v>0</v>
      </c>
    </row>
    <row r="7" spans="1:13">
      <c r="A7" s="73"/>
      <c r="B7" s="74">
        <v>6</v>
      </c>
      <c r="C7" s="83">
        <v>4470.8799</v>
      </c>
      <c r="D7" s="82">
        <v>2.45</v>
      </c>
      <c r="E7" s="77">
        <v>0.2048</v>
      </c>
      <c r="F7" s="78">
        <v>0.5067</v>
      </c>
      <c r="G7" s="78">
        <v>0.5089</v>
      </c>
      <c r="H7" s="73"/>
      <c r="I7" s="74">
        <v>13</v>
      </c>
      <c r="J7" s="75">
        <v>10385.22</v>
      </c>
      <c r="K7" s="81">
        <v>2.45</v>
      </c>
      <c r="L7" s="77">
        <v>0.2905</v>
      </c>
      <c r="M7" s="84">
        <v>0</v>
      </c>
    </row>
    <row r="8" spans="1:13">
      <c r="A8" s="73"/>
      <c r="B8" s="74">
        <v>7</v>
      </c>
      <c r="C8" s="83">
        <v>13472.1699</v>
      </c>
      <c r="D8" s="82">
        <v>2.68</v>
      </c>
      <c r="E8" s="77">
        <v>0.2251</v>
      </c>
      <c r="F8" s="78">
        <v>0.3604</v>
      </c>
      <c r="G8" s="78">
        <v>0.6438</v>
      </c>
      <c r="H8" s="73"/>
      <c r="I8" s="74">
        <v>14</v>
      </c>
      <c r="J8" s="75">
        <v>11358.33</v>
      </c>
      <c r="K8" s="81">
        <v>2.68</v>
      </c>
      <c r="L8" s="77">
        <v>0.2047</v>
      </c>
      <c r="M8" s="84">
        <v>0</v>
      </c>
    </row>
    <row r="9" s="69" customFormat="1" spans="1:13">
      <c r="A9" s="85"/>
      <c r="B9" s="86" t="s">
        <v>7</v>
      </c>
      <c r="C9" s="87">
        <f>SUM(C2:C8)</f>
        <v>71199.0598</v>
      </c>
      <c r="D9" s="88">
        <f>12780/5471</f>
        <v>2.33595320782307</v>
      </c>
      <c r="E9" s="89">
        <f>12780/C9</f>
        <v>0.17949675228717</v>
      </c>
      <c r="F9" s="90">
        <f>20780.7/C9</f>
        <v>0.291867618173239</v>
      </c>
      <c r="G9" s="91">
        <f>30231.9/C9</f>
        <v>0.424610944090023</v>
      </c>
      <c r="H9" s="85"/>
      <c r="I9" s="86" t="s">
        <v>7</v>
      </c>
      <c r="J9" s="87">
        <f>SUM(J2:J8)</f>
        <v>91969.52</v>
      </c>
      <c r="K9" s="88">
        <f>22974.6/6328</f>
        <v>3.63062579013906</v>
      </c>
      <c r="L9" s="89">
        <f>22974.6/J9</f>
        <v>0.249806675081049</v>
      </c>
      <c r="M9" s="92">
        <f>AVERAGE(M2:M5)</f>
        <v>0.522025</v>
      </c>
    </row>
    <row r="11" spans="1:13">
      <c r="D11" s="93"/>
    </row>
    <row r="18" spans="11:11">
      <c r="K18" s="94"/>
    </row>
  </sheetData>
  <mergeCells count="2">
    <mergeCell ref="A2:A9"/>
    <mergeCell ref="H2:H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C16" sqref="C16"/>
    </sheetView>
  </sheetViews>
  <sheetFormatPr defaultColWidth="8.88461538461539" defaultRowHeight="16.8"/>
  <cols>
    <col min="1" max="1" width="16.7788461538462" style="24" customWidth="1"/>
    <col min="2" max="2" width="11.5576923076923" style="24" customWidth="1"/>
    <col min="3" max="3" width="12.8846153846154" style="24"/>
    <col min="4" max="4" width="14.1153846153846" style="24"/>
    <col min="5" max="5" width="16.4423076923077" style="24"/>
    <col min="6" max="6" width="12.1153846153846" style="24" customWidth="1"/>
    <col min="7" max="7" width="8.88461538461539" style="24"/>
    <col min="8" max="8" width="12.8846153846154" style="24"/>
    <col min="9" max="9" width="17.5576923076923" style="24"/>
    <col min="10" max="10" width="20.8846153846154" style="24"/>
    <col min="11" max="11" width="12.8846153846154" style="25"/>
    <col min="12" max="12" width="15.1153846153846" style="24" customWidth="1"/>
    <col min="13" max="13" width="19.7788461538462" style="24"/>
    <col min="14" max="15" width="12.8846153846154" style="24"/>
    <col min="16" max="17" width="12.1153846153846" style="24" customWidth="1"/>
    <col min="18" max="16384" width="8.88461538461539" style="24"/>
  </cols>
  <sheetData>
    <row r="1" spans="1:18">
      <c r="A1" s="26" t="s">
        <v>8</v>
      </c>
      <c r="B1" s="26" t="s">
        <v>2</v>
      </c>
      <c r="C1" s="26" t="s">
        <v>9</v>
      </c>
      <c r="D1" s="26" t="s">
        <v>10</v>
      </c>
      <c r="E1" s="26" t="s">
        <v>11</v>
      </c>
      <c r="F1" s="26" t="s">
        <v>12</v>
      </c>
      <c r="G1" s="26" t="s">
        <v>13</v>
      </c>
      <c r="H1" s="26" t="s">
        <v>14</v>
      </c>
      <c r="I1" s="26" t="s">
        <v>15</v>
      </c>
      <c r="J1" s="26" t="s">
        <v>16</v>
      </c>
      <c r="K1" s="26" t="s">
        <v>4</v>
      </c>
      <c r="L1" s="26" t="s">
        <v>3</v>
      </c>
      <c r="M1" s="26" t="s">
        <v>17</v>
      </c>
      <c r="N1" s="26" t="s">
        <v>18</v>
      </c>
      <c r="O1" s="26" t="s">
        <v>19</v>
      </c>
      <c r="P1" s="26" t="s">
        <v>20</v>
      </c>
      <c r="Q1" s="26" t="s">
        <v>21</v>
      </c>
    </row>
    <row r="2" s="21" customFormat="1" spans="1:18">
      <c r="A2" s="27">
        <v>46174</v>
      </c>
      <c r="B2" s="28">
        <v>8687.79</v>
      </c>
      <c r="C2" s="29">
        <v>745</v>
      </c>
      <c r="D2" s="29">
        <v>646</v>
      </c>
      <c r="E2" s="30">
        <f t="shared" ref="E2:E9" si="0">B2/D2</f>
        <v>13.4485913312694</v>
      </c>
      <c r="F2" s="29">
        <v>488</v>
      </c>
      <c r="G2" s="29">
        <v>30</v>
      </c>
      <c r="H2" s="31">
        <f t="shared" ref="H2:H9" si="1">G2/D2</f>
        <v>0.0464396284829721</v>
      </c>
      <c r="I2" s="29">
        <v>1677.6</v>
      </c>
      <c r="J2" s="32">
        <f t="shared" ref="J2:J9" si="2">B2/G2</f>
        <v>289.593</v>
      </c>
      <c r="K2" s="33">
        <f t="shared" ref="K2:K9" si="3">I2/B2</f>
        <v>0.19309859009023</v>
      </c>
      <c r="L2" s="32">
        <f t="shared" ref="L2:L9" si="4">I2/D2</f>
        <v>2.5969040247678</v>
      </c>
      <c r="M2" s="32">
        <f t="shared" ref="M2:M9" si="5">I2/G2</f>
        <v>55.92</v>
      </c>
      <c r="N2" s="34">
        <v>0.391640866873065</v>
      </c>
      <c r="O2" s="34">
        <v>0.086687306501548</v>
      </c>
      <c r="P2" s="34">
        <v>0.165584415584416</v>
      </c>
      <c r="Q2" s="34">
        <v>0.3</v>
      </c>
    </row>
    <row r="3" s="22" customFormat="1" spans="1:18">
      <c r="A3" s="27">
        <v>46175</v>
      </c>
      <c r="B3" s="28">
        <v>17462.2</v>
      </c>
      <c r="C3" s="29">
        <v>1656</v>
      </c>
      <c r="D3" s="29">
        <v>1511</v>
      </c>
      <c r="E3" s="30">
        <f t="shared" si="0"/>
        <v>11.5567174056916</v>
      </c>
      <c r="F3" s="29">
        <v>1174</v>
      </c>
      <c r="G3" s="29">
        <v>53</v>
      </c>
      <c r="H3" s="31">
        <f t="shared" si="1"/>
        <v>0.0350761085373925</v>
      </c>
      <c r="I3" s="29">
        <v>2290.5</v>
      </c>
      <c r="J3" s="32">
        <f t="shared" si="2"/>
        <v>329.475471698113</v>
      </c>
      <c r="K3" s="33">
        <f t="shared" si="3"/>
        <v>0.131169039410842</v>
      </c>
      <c r="L3" s="32">
        <f t="shared" si="4"/>
        <v>1.51588352084712</v>
      </c>
      <c r="M3" s="32">
        <f t="shared" si="5"/>
        <v>43.2169811320755</v>
      </c>
      <c r="N3" s="34">
        <v>0.363335539377895</v>
      </c>
      <c r="O3" s="34">
        <v>0.0668431502316347</v>
      </c>
      <c r="P3" s="34">
        <v>0.117808219178082</v>
      </c>
      <c r="Q3" s="34">
        <v>0.339622641509434</v>
      </c>
    </row>
    <row r="4" spans="1:18">
      <c r="A4" s="27">
        <v>46176</v>
      </c>
      <c r="B4" s="28">
        <v>13599.5</v>
      </c>
      <c r="C4" s="29">
        <v>913</v>
      </c>
      <c r="D4" s="29">
        <v>815</v>
      </c>
      <c r="E4" s="30">
        <f t="shared" si="0"/>
        <v>16.6865030674847</v>
      </c>
      <c r="F4" s="29">
        <v>615</v>
      </c>
      <c r="G4" s="29">
        <v>42</v>
      </c>
      <c r="H4" s="31">
        <f t="shared" si="1"/>
        <v>0.0515337423312883</v>
      </c>
      <c r="I4" s="29">
        <v>2133.2</v>
      </c>
      <c r="J4" s="32">
        <f t="shared" si="2"/>
        <v>323.797619047619</v>
      </c>
      <c r="K4" s="33">
        <f t="shared" si="3"/>
        <v>0.156858708040737</v>
      </c>
      <c r="L4" s="32">
        <f t="shared" si="4"/>
        <v>2.61742331288344</v>
      </c>
      <c r="M4" s="32">
        <f t="shared" si="5"/>
        <v>50.7904761904762</v>
      </c>
      <c r="N4" s="34">
        <v>0.359509202453988</v>
      </c>
      <c r="O4" s="34">
        <v>0.0822085889570552</v>
      </c>
      <c r="P4" s="34">
        <v>0.121052631578947</v>
      </c>
      <c r="Q4" s="34">
        <v>0.414634146341463</v>
      </c>
    </row>
    <row r="5" s="21" customFormat="1" spans="1:18">
      <c r="A5" s="27">
        <v>46177</v>
      </c>
      <c r="B5" s="28">
        <v>7081.76</v>
      </c>
      <c r="C5" s="29">
        <v>546</v>
      </c>
      <c r="D5" s="29">
        <v>463</v>
      </c>
      <c r="E5" s="30">
        <f t="shared" si="0"/>
        <v>15.2953779697624</v>
      </c>
      <c r="F5" s="29">
        <v>349</v>
      </c>
      <c r="G5" s="29">
        <v>20</v>
      </c>
      <c r="H5" s="31">
        <f t="shared" si="1"/>
        <v>0.0431965442764579</v>
      </c>
      <c r="I5" s="29">
        <v>1823.1</v>
      </c>
      <c r="J5" s="32">
        <f t="shared" si="2"/>
        <v>354.088</v>
      </c>
      <c r="K5" s="33">
        <f t="shared" si="3"/>
        <v>0.257436004609024</v>
      </c>
      <c r="L5" s="32">
        <f t="shared" si="4"/>
        <v>3.93758099352052</v>
      </c>
      <c r="M5" s="32">
        <f t="shared" si="5"/>
        <v>91.155</v>
      </c>
      <c r="N5" s="34">
        <v>0.3585313174946</v>
      </c>
      <c r="O5" s="34">
        <v>0.0755939524838013</v>
      </c>
      <c r="P5" s="34">
        <v>0.14187643020595</v>
      </c>
      <c r="Q5" s="34">
        <v>0.5</v>
      </c>
    </row>
    <row r="6" s="21" customFormat="1" spans="1:18">
      <c r="A6" s="27">
        <v>46178</v>
      </c>
      <c r="B6" s="35">
        <v>6424.76</v>
      </c>
      <c r="C6" s="29">
        <v>577</v>
      </c>
      <c r="D6" s="29">
        <v>485</v>
      </c>
      <c r="E6" s="30">
        <f t="shared" si="0"/>
        <v>13.2469278350515</v>
      </c>
      <c r="F6" s="29">
        <v>352</v>
      </c>
      <c r="G6" s="29">
        <v>17</v>
      </c>
      <c r="H6" s="31">
        <f t="shared" si="1"/>
        <v>0.0350515463917526</v>
      </c>
      <c r="I6" s="29">
        <v>907.6</v>
      </c>
      <c r="J6" s="32">
        <f t="shared" si="2"/>
        <v>377.927058823529</v>
      </c>
      <c r="K6" s="33">
        <f t="shared" si="3"/>
        <v>0.141265977250512</v>
      </c>
      <c r="L6" s="32">
        <f t="shared" si="4"/>
        <v>1.87134020618557</v>
      </c>
      <c r="M6" s="32">
        <f t="shared" si="5"/>
        <v>53.3882352941176</v>
      </c>
      <c r="N6" s="34">
        <v>0.369072164948454</v>
      </c>
      <c r="O6" s="34">
        <v>0.088659793814433</v>
      </c>
      <c r="P6" s="34">
        <v>0.116331096196868</v>
      </c>
      <c r="Q6" s="34">
        <v>0.352941176470588</v>
      </c>
    </row>
    <row r="7" spans="1:18">
      <c r="A7" s="27">
        <v>46179</v>
      </c>
      <c r="B7" s="35">
        <v>4470.8799</v>
      </c>
      <c r="C7" s="29">
        <v>447</v>
      </c>
      <c r="D7" s="29">
        <v>376</v>
      </c>
      <c r="E7" s="30">
        <f t="shared" si="0"/>
        <v>11.8906380319149</v>
      </c>
      <c r="F7" s="29">
        <v>287</v>
      </c>
      <c r="G7" s="29">
        <v>11</v>
      </c>
      <c r="H7" s="31">
        <f t="shared" si="1"/>
        <v>0.0292553191489362</v>
      </c>
      <c r="I7" s="29">
        <v>915.6</v>
      </c>
      <c r="J7" s="32">
        <f t="shared" si="2"/>
        <v>406.443627272727</v>
      </c>
      <c r="K7" s="33">
        <f t="shared" si="3"/>
        <v>0.204791902372506</v>
      </c>
      <c r="L7" s="32">
        <f t="shared" si="4"/>
        <v>2.43510638297872</v>
      </c>
      <c r="M7" s="32">
        <f t="shared" si="5"/>
        <v>83.2363636363636</v>
      </c>
      <c r="N7" s="34">
        <v>0.377659574468085</v>
      </c>
      <c r="O7" s="34">
        <v>0.0638297872340425</v>
      </c>
      <c r="P7" s="34">
        <v>0.123919308357349</v>
      </c>
      <c r="Q7" s="34">
        <v>0.5</v>
      </c>
    </row>
    <row r="8" s="21" customFormat="1" spans="1:18">
      <c r="A8" s="27">
        <v>46180</v>
      </c>
      <c r="B8" s="35">
        <v>13472.1699</v>
      </c>
      <c r="C8" s="29">
        <v>1284</v>
      </c>
      <c r="D8" s="29">
        <v>1130</v>
      </c>
      <c r="E8" s="30">
        <f t="shared" si="0"/>
        <v>11.9222742477876</v>
      </c>
      <c r="F8" s="29">
        <v>894</v>
      </c>
      <c r="G8" s="29">
        <v>57</v>
      </c>
      <c r="H8" s="31">
        <f t="shared" si="1"/>
        <v>0.0504424778761062</v>
      </c>
      <c r="I8" s="29">
        <v>3032.4</v>
      </c>
      <c r="J8" s="32">
        <f t="shared" si="2"/>
        <v>236.353857894737</v>
      </c>
      <c r="K8" s="33">
        <f t="shared" si="3"/>
        <v>0.225086234994706</v>
      </c>
      <c r="L8" s="32">
        <f t="shared" si="4"/>
        <v>2.68353982300885</v>
      </c>
      <c r="M8" s="32">
        <f t="shared" si="5"/>
        <v>53.2</v>
      </c>
      <c r="N8" s="34">
        <v>0.373451327433628</v>
      </c>
      <c r="O8" s="34">
        <v>0.0787610619469027</v>
      </c>
      <c r="P8" s="34">
        <v>0.134913400182315</v>
      </c>
      <c r="Q8" s="34">
        <v>0.254545454545455</v>
      </c>
    </row>
    <row r="9" s="23" customFormat="1" ht="17" spans="1:18">
      <c r="A9" s="36" t="s">
        <v>22</v>
      </c>
      <c r="B9" s="37">
        <f t="shared" ref="B9:G9" si="6">SUM(B2:B8)</f>
        <v>71199.0598</v>
      </c>
      <c r="C9" s="38">
        <f t="shared" si="6"/>
        <v>6168</v>
      </c>
      <c r="D9" s="36">
        <f t="shared" si="6"/>
        <v>5426</v>
      </c>
      <c r="E9" s="39">
        <f t="shared" si="0"/>
        <v>13.1218318835238</v>
      </c>
      <c r="F9" s="36">
        <f t="shared" si="6"/>
        <v>4159</v>
      </c>
      <c r="G9" s="36">
        <f t="shared" si="6"/>
        <v>230</v>
      </c>
      <c r="H9" s="40">
        <f t="shared" si="1"/>
        <v>0.0423884998157022</v>
      </c>
      <c r="I9" s="36">
        <f>SUM(I2:I8)</f>
        <v>12780</v>
      </c>
      <c r="J9" s="39">
        <f t="shared" si="2"/>
        <v>309.561129565217</v>
      </c>
      <c r="K9" s="41">
        <f t="shared" si="3"/>
        <v>0.17949675228717</v>
      </c>
      <c r="L9" s="39">
        <f t="shared" si="4"/>
        <v>2.35532620715076</v>
      </c>
      <c r="M9" s="39">
        <f t="shared" si="5"/>
        <v>55.5652173913044</v>
      </c>
      <c r="N9" s="42">
        <v>0.369332841872466</v>
      </c>
      <c r="O9" s="42">
        <v>0.0764835974935496</v>
      </c>
      <c r="P9" s="42">
        <v>0.12993803253292</v>
      </c>
      <c r="Q9" s="42">
        <v>0.349557522123894</v>
      </c>
      <c r="R9" s="43"/>
    </row>
    <row r="10" s="21" customFormat="1" spans="1:18">
      <c r="A10" s="27">
        <v>46181</v>
      </c>
      <c r="B10" s="44">
        <v>11076.83</v>
      </c>
      <c r="C10" s="44">
        <v>936</v>
      </c>
      <c r="D10" s="44">
        <v>824</v>
      </c>
      <c r="E10" s="30">
        <f t="shared" ref="E2:E17" si="7">B10/D10</f>
        <v>13.4427548543689</v>
      </c>
      <c r="F10" s="44">
        <v>600</v>
      </c>
      <c r="G10" s="44">
        <v>51</v>
      </c>
      <c r="H10" s="31">
        <f t="shared" ref="H2:H17" si="8">G10/D10</f>
        <v>0.0618932038834951</v>
      </c>
      <c r="I10" s="44">
        <v>4693.1</v>
      </c>
      <c r="J10" s="32">
        <f t="shared" ref="J2:J17" si="9">B10/G10</f>
        <v>217.192745098039</v>
      </c>
      <c r="K10" s="33">
        <f t="shared" ref="K2:K17" si="10">I10/B10</f>
        <v>0.423686199029867</v>
      </c>
      <c r="L10" s="32">
        <f t="shared" ref="L2:L17" si="11">I10/D10</f>
        <v>5.69550970873786</v>
      </c>
      <c r="M10" s="32">
        <f t="shared" ref="M2:M17" si="12">I10/G10</f>
        <v>92.021568627451</v>
      </c>
      <c r="N10" s="45">
        <v>0.344660194174757</v>
      </c>
      <c r="O10" s="45">
        <v>0.0800970873786408</v>
      </c>
      <c r="P10" s="45">
        <v>0.134271099744246</v>
      </c>
      <c r="Q10" s="45">
        <v>0.48936170212766</v>
      </c>
    </row>
    <row r="11" s="21" customFormat="1" spans="1:18">
      <c r="A11" s="27">
        <v>46182</v>
      </c>
      <c r="B11" s="44">
        <v>13497.9099</v>
      </c>
      <c r="C11" s="44">
        <v>976</v>
      </c>
      <c r="D11" s="44">
        <v>863</v>
      </c>
      <c r="E11" s="30">
        <f t="shared" si="7"/>
        <v>15.6406835457706</v>
      </c>
      <c r="F11" s="44">
        <v>646</v>
      </c>
      <c r="G11" s="44">
        <v>47</v>
      </c>
      <c r="H11" s="31">
        <f t="shared" si="8"/>
        <v>0.0544611819235226</v>
      </c>
      <c r="I11" s="44">
        <v>2257.8</v>
      </c>
      <c r="J11" s="32">
        <f t="shared" si="9"/>
        <v>287.189572340426</v>
      </c>
      <c r="K11" s="33">
        <f t="shared" si="10"/>
        <v>0.167270341610444</v>
      </c>
      <c r="L11" s="32">
        <f t="shared" si="11"/>
        <v>2.6162224797219</v>
      </c>
      <c r="M11" s="32">
        <f t="shared" si="12"/>
        <v>48.0382978723404</v>
      </c>
      <c r="N11" s="45">
        <v>0.369640787949015</v>
      </c>
      <c r="O11" s="45">
        <v>0.0926998841251448</v>
      </c>
      <c r="P11" s="45">
        <v>0.168498168498169</v>
      </c>
      <c r="Q11" s="45">
        <v>0.311111111111111</v>
      </c>
    </row>
    <row r="12" s="21" customFormat="1" spans="1:18">
      <c r="A12" s="27">
        <v>46183</v>
      </c>
      <c r="B12" s="44">
        <v>11130.3699</v>
      </c>
      <c r="C12" s="44">
        <v>928</v>
      </c>
      <c r="D12" s="44">
        <v>847</v>
      </c>
      <c r="E12" s="30">
        <f t="shared" si="7"/>
        <v>13.1409325855962</v>
      </c>
      <c r="F12" s="44">
        <v>632</v>
      </c>
      <c r="G12" s="44">
        <v>36</v>
      </c>
      <c r="H12" s="31">
        <f t="shared" si="8"/>
        <v>0.0425029515938607</v>
      </c>
      <c r="I12" s="44">
        <v>3714.9</v>
      </c>
      <c r="J12" s="32">
        <f t="shared" si="9"/>
        <v>309.176941666667</v>
      </c>
      <c r="K12" s="33">
        <f t="shared" si="10"/>
        <v>0.333762492475654</v>
      </c>
      <c r="L12" s="32">
        <f t="shared" si="11"/>
        <v>4.38595041322314</v>
      </c>
      <c r="M12" s="32">
        <f t="shared" si="12"/>
        <v>103.191666666667</v>
      </c>
      <c r="N12" s="45">
        <v>0.341204250295159</v>
      </c>
      <c r="O12" s="45">
        <v>0.0861865407319953</v>
      </c>
      <c r="P12" s="45">
        <v>0.154420921544209</v>
      </c>
      <c r="Q12" s="45">
        <v>0.441176470588235</v>
      </c>
    </row>
    <row r="13" s="21" customFormat="1" spans="1:18">
      <c r="A13" s="27">
        <v>46184</v>
      </c>
      <c r="B13" s="44">
        <v>21314.11</v>
      </c>
      <c r="C13" s="44">
        <v>1631</v>
      </c>
      <c r="D13" s="44">
        <v>1490</v>
      </c>
      <c r="E13" s="30">
        <f t="shared" si="7"/>
        <v>14.3047718120805</v>
      </c>
      <c r="F13" s="44">
        <v>1142</v>
      </c>
      <c r="G13" s="44">
        <v>71</v>
      </c>
      <c r="H13" s="31">
        <f t="shared" si="8"/>
        <v>0.0476510067114094</v>
      </c>
      <c r="I13" s="44">
        <v>5022.3</v>
      </c>
      <c r="J13" s="32">
        <f t="shared" si="9"/>
        <v>300.198732394366</v>
      </c>
      <c r="K13" s="33">
        <f t="shared" si="10"/>
        <v>0.235632639598838</v>
      </c>
      <c r="L13" s="32">
        <f t="shared" si="11"/>
        <v>3.3706711409396</v>
      </c>
      <c r="M13" s="32">
        <f t="shared" si="12"/>
        <v>70.7366197183099</v>
      </c>
      <c r="N13" s="45">
        <v>0.352348993288591</v>
      </c>
      <c r="O13" s="45">
        <v>0.0805369127516778</v>
      </c>
      <c r="P13" s="45">
        <v>0.129979035639413</v>
      </c>
      <c r="Q13" s="45">
        <v>0.242857142857143</v>
      </c>
    </row>
    <row r="14" spans="1:18">
      <c r="A14" s="27">
        <v>46185</v>
      </c>
      <c r="B14" s="44">
        <v>13732.6</v>
      </c>
      <c r="C14" s="44">
        <v>970</v>
      </c>
      <c r="D14" s="44">
        <v>863</v>
      </c>
      <c r="E14" s="30">
        <f t="shared" si="7"/>
        <v>15.9126303592121</v>
      </c>
      <c r="F14" s="44">
        <v>652</v>
      </c>
      <c r="G14" s="44">
        <v>41</v>
      </c>
      <c r="H14" s="31">
        <f t="shared" si="8"/>
        <v>0.0475086906141367</v>
      </c>
      <c r="I14" s="44">
        <v>1944.5</v>
      </c>
      <c r="J14" s="32">
        <f t="shared" si="9"/>
        <v>334.941463414634</v>
      </c>
      <c r="K14" s="33">
        <f t="shared" si="10"/>
        <v>0.141597366849686</v>
      </c>
      <c r="L14" s="32">
        <f t="shared" si="11"/>
        <v>2.2531865585168</v>
      </c>
      <c r="M14" s="32">
        <f t="shared" si="12"/>
        <v>47.4268292682927</v>
      </c>
      <c r="N14" s="45">
        <v>0.348783314020857</v>
      </c>
      <c r="O14" s="45">
        <v>0.0845886442641947</v>
      </c>
      <c r="P14" s="45">
        <v>0.124694376528117</v>
      </c>
      <c r="Q14" s="45">
        <v>0.2</v>
      </c>
    </row>
    <row r="15" s="21" customFormat="1" spans="1:18">
      <c r="A15" s="27">
        <v>46186</v>
      </c>
      <c r="B15" s="44">
        <v>10385.22</v>
      </c>
      <c r="C15" s="44">
        <v>813</v>
      </c>
      <c r="D15" s="44">
        <v>715</v>
      </c>
      <c r="E15" s="30">
        <f t="shared" si="7"/>
        <v>14.5247832167832</v>
      </c>
      <c r="F15" s="44">
        <v>527</v>
      </c>
      <c r="G15" s="44">
        <v>42</v>
      </c>
      <c r="H15" s="31">
        <f t="shared" si="8"/>
        <v>0.0587412587412587</v>
      </c>
      <c r="I15" s="44">
        <v>3016.9</v>
      </c>
      <c r="J15" s="32">
        <f t="shared" si="9"/>
        <v>247.267142857143</v>
      </c>
      <c r="K15" s="33">
        <f t="shared" si="10"/>
        <v>0.290499382776677</v>
      </c>
      <c r="L15" s="32">
        <f t="shared" si="11"/>
        <v>4.21944055944056</v>
      </c>
      <c r="M15" s="32">
        <f t="shared" si="12"/>
        <v>71.8309523809524</v>
      </c>
      <c r="N15" s="45">
        <v>0.34965034965035</v>
      </c>
      <c r="O15" s="45">
        <v>0.0671328671328671</v>
      </c>
      <c r="P15" s="45">
        <v>0.152592592592593</v>
      </c>
      <c r="Q15" s="45">
        <v>0.463414634146341</v>
      </c>
    </row>
    <row r="16" spans="1:18">
      <c r="A16" s="27">
        <v>46187</v>
      </c>
      <c r="B16" s="44">
        <v>11417.34</v>
      </c>
      <c r="C16" s="44">
        <v>828</v>
      </c>
      <c r="D16" s="44">
        <v>726</v>
      </c>
      <c r="E16" s="30">
        <f t="shared" si="7"/>
        <v>15.7263636363636</v>
      </c>
      <c r="F16" s="44">
        <v>542</v>
      </c>
      <c r="G16" s="44">
        <v>48</v>
      </c>
      <c r="H16" s="31">
        <f t="shared" si="8"/>
        <v>0.0661157024793388</v>
      </c>
      <c r="I16" s="44">
        <v>2325.1</v>
      </c>
      <c r="J16" s="32">
        <f t="shared" si="9"/>
        <v>237.86125</v>
      </c>
      <c r="K16" s="33">
        <f t="shared" si="10"/>
        <v>0.203646383483368</v>
      </c>
      <c r="L16" s="32">
        <f t="shared" si="11"/>
        <v>3.20261707988981</v>
      </c>
      <c r="M16" s="32">
        <f t="shared" si="12"/>
        <v>48.4395833333333</v>
      </c>
      <c r="N16" s="45">
        <v>0.348484848484849</v>
      </c>
      <c r="O16" s="45">
        <v>0.0702479338842975</v>
      </c>
      <c r="P16" s="45">
        <v>0.13323782234957</v>
      </c>
      <c r="Q16" s="45">
        <v>0.354166666666667</v>
      </c>
    </row>
    <row r="17" s="23" customFormat="1" ht="17" spans="1:18">
      <c r="A17" s="36" t="s">
        <v>22</v>
      </c>
      <c r="B17" s="37">
        <f>SUM(B10:B16)</f>
        <v>92554.3798</v>
      </c>
      <c r="C17" s="38">
        <f>SUM(C10:C16)</f>
        <v>7082</v>
      </c>
      <c r="D17" s="36">
        <f>SUM(D10:D16)</f>
        <v>6328</v>
      </c>
      <c r="E17" s="39">
        <f t="shared" si="7"/>
        <v>14.6261662136536</v>
      </c>
      <c r="F17" s="36">
        <f>SUM(F10:F16)</f>
        <v>4741</v>
      </c>
      <c r="G17" s="36">
        <f>SUM(G10:G16)</f>
        <v>336</v>
      </c>
      <c r="H17" s="40">
        <f t="shared" si="8"/>
        <v>0.0530973451327434</v>
      </c>
      <c r="I17" s="36">
        <f>SUM(I10:I16)</f>
        <v>22974.6</v>
      </c>
      <c r="J17" s="39">
        <f t="shared" si="9"/>
        <v>275.459463690476</v>
      </c>
      <c r="K17" s="41">
        <f t="shared" si="10"/>
        <v>0.248228123289742</v>
      </c>
      <c r="L17" s="39">
        <f t="shared" si="11"/>
        <v>3.63062579013906</v>
      </c>
      <c r="M17" s="39">
        <f t="shared" si="12"/>
        <v>68.3767857142857</v>
      </c>
      <c r="N17" s="46">
        <v>0.350979772439949</v>
      </c>
      <c r="O17" s="47">
        <v>0.0807522123893805</v>
      </c>
      <c r="P17" s="47">
        <v>0.141221374045802</v>
      </c>
      <c r="Q17" s="47">
        <v>0.347692307692308</v>
      </c>
      <c r="R17" s="40"/>
    </row>
    <row r="18" spans="1:18">
      <c r="L18" s="48"/>
      <c r="M18" s="49"/>
      <c r="O18" s="50"/>
      <c r="P18" s="50"/>
      <c r="Q18" s="50"/>
    </row>
    <row r="20" spans="1:18">
      <c r="A20" s="51" t="s">
        <v>8</v>
      </c>
      <c r="B20" s="52" t="s">
        <v>2</v>
      </c>
      <c r="C20" s="52" t="s">
        <v>9</v>
      </c>
      <c r="D20" s="52" t="s">
        <v>10</v>
      </c>
      <c r="E20" s="53" t="s">
        <v>11</v>
      </c>
      <c r="F20" s="52" t="s">
        <v>12</v>
      </c>
      <c r="G20" s="52" t="s">
        <v>13</v>
      </c>
      <c r="H20" s="54" t="s">
        <v>14</v>
      </c>
      <c r="I20" s="52" t="s">
        <v>15</v>
      </c>
      <c r="J20" s="53" t="s">
        <v>16</v>
      </c>
      <c r="K20" s="54" t="s">
        <v>4</v>
      </c>
      <c r="L20" s="53" t="s">
        <v>3</v>
      </c>
      <c r="M20" s="53" t="s">
        <v>17</v>
      </c>
      <c r="N20" s="54" t="s">
        <v>18</v>
      </c>
      <c r="O20" s="52" t="s">
        <v>19</v>
      </c>
      <c r="P20" s="52" t="s">
        <v>20</v>
      </c>
      <c r="Q20" s="52" t="s">
        <v>21</v>
      </c>
    </row>
    <row r="21" s="24" customFormat="1" spans="1:18">
      <c r="A21" s="24" t="s">
        <v>23</v>
      </c>
      <c r="B21" s="55">
        <v>71199.0598</v>
      </c>
      <c r="C21" s="56">
        <v>6168</v>
      </c>
      <c r="D21" s="56">
        <v>5426</v>
      </c>
      <c r="E21" s="55">
        <v>13.1218318835238</v>
      </c>
      <c r="F21" s="57">
        <v>4159</v>
      </c>
      <c r="G21" s="57">
        <v>230</v>
      </c>
      <c r="H21" s="58">
        <v>0.0423884998157022</v>
      </c>
      <c r="I21" s="57">
        <v>12780</v>
      </c>
      <c r="J21" s="55">
        <v>309.561129565217</v>
      </c>
      <c r="K21" s="33">
        <v>0.17949675228717</v>
      </c>
      <c r="L21" s="32">
        <v>2.35532620715076</v>
      </c>
      <c r="M21" s="32">
        <v>55.5652173913044</v>
      </c>
      <c r="N21" s="33">
        <v>0.369332841872466</v>
      </c>
      <c r="O21" s="59">
        <v>0.0764835974935496</v>
      </c>
      <c r="P21" s="33">
        <v>0.12993803253292</v>
      </c>
      <c r="Q21" s="33">
        <v>0.349557522123894</v>
      </c>
    </row>
    <row r="22" s="24" customFormat="1" spans="1:18">
      <c r="A22" s="24" t="s">
        <v>24</v>
      </c>
      <c r="B22" s="55">
        <v>92554.3798</v>
      </c>
      <c r="C22" s="56">
        <v>7082</v>
      </c>
      <c r="D22" s="56">
        <v>6328</v>
      </c>
      <c r="E22" s="55">
        <v>14.6261662136536</v>
      </c>
      <c r="F22" s="57">
        <v>4741</v>
      </c>
      <c r="G22" s="57">
        <v>336</v>
      </c>
      <c r="H22" s="58">
        <v>0.0530973451327434</v>
      </c>
      <c r="I22" s="57">
        <v>22974.6</v>
      </c>
      <c r="J22" s="55">
        <v>275.459463690476</v>
      </c>
      <c r="K22" s="60">
        <v>0.248228123289742</v>
      </c>
      <c r="L22" s="32">
        <v>3.63062579013906</v>
      </c>
      <c r="M22" s="32">
        <v>68.3767857142857</v>
      </c>
      <c r="N22" s="33">
        <v>0.350979772439949</v>
      </c>
      <c r="O22" s="59">
        <v>0.0807522123893805</v>
      </c>
      <c r="P22" s="33">
        <v>0.141221374045802</v>
      </c>
      <c r="Q22" s="33">
        <v>0.347692307692308</v>
      </c>
    </row>
    <row r="23" s="24" customFormat="1" spans="1:18">
      <c r="A23" s="24" t="s">
        <v>25</v>
      </c>
      <c r="B23" s="61">
        <f t="shared" ref="B23:Q23" si="13">B22-B21</f>
        <v>21355.32</v>
      </c>
      <c r="C23" s="62">
        <f t="shared" si="13"/>
        <v>914</v>
      </c>
      <c r="D23" s="62">
        <f t="shared" si="13"/>
        <v>902</v>
      </c>
      <c r="E23" s="61">
        <f t="shared" si="13"/>
        <v>1.50433433012983</v>
      </c>
      <c r="F23" s="62">
        <f t="shared" si="13"/>
        <v>582</v>
      </c>
      <c r="G23" s="62">
        <f t="shared" si="13"/>
        <v>106</v>
      </c>
      <c r="H23" s="63">
        <f t="shared" si="13"/>
        <v>0.0107088453170412</v>
      </c>
      <c r="I23" s="61">
        <f t="shared" si="13"/>
        <v>10194.6</v>
      </c>
      <c r="J23" s="61">
        <f t="shared" si="13"/>
        <v>-34.1016658747413</v>
      </c>
      <c r="K23" s="63">
        <f t="shared" si="13"/>
        <v>0.068731371002572</v>
      </c>
      <c r="L23" s="61">
        <f t="shared" si="13"/>
        <v>1.27529958298831</v>
      </c>
      <c r="M23" s="61">
        <f t="shared" si="13"/>
        <v>12.8115683229814</v>
      </c>
      <c r="N23" s="63">
        <f t="shared" si="13"/>
        <v>-0.0183530694325166</v>
      </c>
      <c r="O23" s="63">
        <f t="shared" si="13"/>
        <v>0.00426861489583093</v>
      </c>
      <c r="P23" s="63">
        <f t="shared" si="13"/>
        <v>0.0112833415128815</v>
      </c>
      <c r="Q23" s="63">
        <f t="shared" si="13"/>
        <v>-0.00186521443158633</v>
      </c>
    </row>
    <row r="24" spans="1:18">
      <c r="H24" s="64"/>
    </row>
    <row r="25" spans="1:18">
      <c r="B25" s="52" t="s">
        <v>2</v>
      </c>
      <c r="C25" s="52" t="s">
        <v>9</v>
      </c>
      <c r="D25" s="52" t="s">
        <v>10</v>
      </c>
      <c r="E25" s="53" t="s">
        <v>11</v>
      </c>
      <c r="F25" s="52" t="s">
        <v>12</v>
      </c>
      <c r="G25" s="52" t="s">
        <v>13</v>
      </c>
      <c r="H25" s="54" t="s">
        <v>14</v>
      </c>
      <c r="I25" s="52" t="s">
        <v>15</v>
      </c>
      <c r="J25" s="53" t="s">
        <v>16</v>
      </c>
      <c r="K25" s="54" t="s">
        <v>4</v>
      </c>
      <c r="L25" s="53" t="s">
        <v>3</v>
      </c>
      <c r="M25" s="53" t="s">
        <v>17</v>
      </c>
      <c r="N25" s="54" t="s">
        <v>18</v>
      </c>
      <c r="O25" s="52" t="s">
        <v>20</v>
      </c>
      <c r="P25" s="52" t="s">
        <v>19</v>
      </c>
      <c r="Q25" s="52" t="s">
        <v>21</v>
      </c>
    </row>
    <row r="26" spans="1:18">
      <c r="A26" s="24" t="s">
        <v>26</v>
      </c>
      <c r="B26" s="24">
        <f>B21/7</f>
        <v>10171.2942571429</v>
      </c>
      <c r="D26" s="24">
        <f>D21/7</f>
        <v>775.142857142857</v>
      </c>
    </row>
    <row r="27" spans="1:18">
      <c r="A27" s="24" t="s">
        <v>26</v>
      </c>
      <c r="B27" s="24">
        <f>B22/7</f>
        <v>13222.0542571429</v>
      </c>
      <c r="D27" s="24">
        <f>D22/7</f>
        <v>904</v>
      </c>
    </row>
    <row r="28" spans="1:18">
      <c r="B28" s="24">
        <f>B27-B26</f>
        <v>3050.76</v>
      </c>
      <c r="D28" s="24">
        <f>D27-D26</f>
        <v>128.857142857143</v>
      </c>
      <c r="I28" s="65"/>
    </row>
    <row r="29" spans="1:18">
      <c r="A29" s="24" t="s">
        <v>25</v>
      </c>
      <c r="B29" s="64">
        <f>B28/B27*100%</f>
        <v>0.230732678952055</v>
      </c>
      <c r="D29" s="64">
        <f>D28/D27*100%</f>
        <v>0.142541087231353</v>
      </c>
    </row>
    <row r="31" spans="1:18">
      <c r="F31" s="24">
        <f>58/89</f>
        <v>0.651685393258427</v>
      </c>
      <c r="H31" s="66">
        <f>4.07-3.79</f>
        <v>0.28</v>
      </c>
    </row>
    <row r="32" spans="1:18">
      <c r="F32" s="24">
        <f>1-F31</f>
        <v>0.348314606741573</v>
      </c>
    </row>
    <row r="35" spans="4:12">
      <c r="D35" s="67"/>
    </row>
    <row r="40" spans="4:12">
      <c r="I40" s="24">
        <f>2899/7827.6</f>
        <v>0.370356175583832</v>
      </c>
      <c r="K40" s="48">
        <f>15.15-12.21</f>
        <v>2.94</v>
      </c>
    </row>
    <row r="42" spans="4:12">
      <c r="H42" s="24">
        <f>6162.14/20</f>
        <v>308.107</v>
      </c>
      <c r="L42" s="24">
        <f>71.06-51.07</f>
        <v>19.99</v>
      </c>
    </row>
    <row r="43" spans="4:12">
      <c r="I43" s="24">
        <f>6162.14/189</f>
        <v>32.6039153439153</v>
      </c>
    </row>
    <row r="49" spans="13:13">
      <c r="M49" s="68">
        <f>76716.3289+688</f>
        <v>77404.3289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8"/>
  <sheetViews>
    <sheetView workbookViewId="0">
      <selection activeCell="H12" sqref="H12"/>
    </sheetView>
  </sheetViews>
  <sheetFormatPr defaultColWidth="11.0769230769231" defaultRowHeight="16.8"/>
  <cols>
    <col min="1" max="13" width="11.0769230769231" style="19"/>
    <col min="14" max="16384" width="11.0769230769231" style="17"/>
  </cols>
  <sheetData>
    <row r="1" s="17" customFormat="1" spans="1:13">
      <c r="A1" s="19" t="s">
        <v>27</v>
      </c>
      <c r="B1" s="19" t="s">
        <v>28</v>
      </c>
      <c r="C1" s="19" t="s">
        <v>29</v>
      </c>
      <c r="D1" s="19" t="s">
        <v>2</v>
      </c>
      <c r="E1" s="19" t="s">
        <v>30</v>
      </c>
      <c r="F1" s="19" t="s">
        <v>31</v>
      </c>
      <c r="G1" s="20" t="s">
        <v>32</v>
      </c>
      <c r="H1" s="20" t="s">
        <v>16</v>
      </c>
      <c r="I1" s="19" t="s">
        <v>33</v>
      </c>
      <c r="J1" s="19" t="s">
        <v>11</v>
      </c>
      <c r="K1" s="19" t="s">
        <v>9</v>
      </c>
      <c r="L1" s="19" t="s">
        <v>34</v>
      </c>
      <c r="M1" s="19" t="s">
        <v>35</v>
      </c>
    </row>
    <row r="2" s="17" customFormat="1" spans="1:13">
      <c r="A2" s="19" t="s">
        <v>36</v>
      </c>
      <c r="B2" s="19" t="s">
        <v>37</v>
      </c>
      <c r="C2" s="19" t="s">
        <v>38</v>
      </c>
      <c r="D2" s="19">
        <v>74.65</v>
      </c>
      <c r="E2" s="19">
        <v>450</v>
      </c>
      <c r="F2" s="19">
        <v>11</v>
      </c>
      <c r="G2" s="19">
        <v>2</v>
      </c>
      <c r="H2" s="19">
        <v>37.33</v>
      </c>
      <c r="I2" s="19">
        <v>4</v>
      </c>
      <c r="J2" s="19">
        <v>18.66</v>
      </c>
      <c r="K2" s="19">
        <v>4</v>
      </c>
      <c r="L2" s="19">
        <v>18.66</v>
      </c>
      <c r="M2" s="19">
        <v>90</v>
      </c>
    </row>
    <row r="3" s="17" customFormat="1" spans="1:13">
      <c r="A3" s="19" t="s">
        <v>39</v>
      </c>
      <c r="B3" s="19" t="s">
        <v>37</v>
      </c>
      <c r="C3" s="19" t="s">
        <v>38</v>
      </c>
      <c r="D3" s="19">
        <v>59.11</v>
      </c>
      <c r="E3" s="19">
        <v>392</v>
      </c>
      <c r="F3" s="19">
        <v>4</v>
      </c>
      <c r="G3" s="19">
        <v>0</v>
      </c>
      <c r="H3" s="19">
        <v>0</v>
      </c>
      <c r="I3" s="19">
        <v>1</v>
      </c>
      <c r="J3" s="19">
        <v>59.11</v>
      </c>
      <c r="K3" s="19">
        <v>1</v>
      </c>
      <c r="L3" s="19">
        <v>59.11</v>
      </c>
      <c r="M3" s="19">
        <v>0</v>
      </c>
    </row>
    <row r="4" s="17" customFormat="1" spans="1:13">
      <c r="A4" s="19" t="s">
        <v>40</v>
      </c>
      <c r="B4" s="19" t="s">
        <v>37</v>
      </c>
      <c r="C4" s="19" t="s">
        <v>38</v>
      </c>
      <c r="D4" s="19">
        <v>33.57</v>
      </c>
      <c r="E4" s="19">
        <v>255</v>
      </c>
      <c r="F4" s="19">
        <v>2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</row>
    <row r="5" s="17" customFormat="1" spans="1:13">
      <c r="A5" s="19" t="s">
        <v>41</v>
      </c>
      <c r="B5" s="19" t="s">
        <v>37</v>
      </c>
      <c r="C5" s="19" t="s">
        <v>38</v>
      </c>
      <c r="D5" s="19">
        <v>21.98</v>
      </c>
      <c r="E5" s="19">
        <v>141</v>
      </c>
      <c r="F5" s="19">
        <v>1</v>
      </c>
      <c r="G5" s="19">
        <v>0</v>
      </c>
      <c r="H5" s="19">
        <v>0</v>
      </c>
      <c r="I5" s="19">
        <v>1</v>
      </c>
      <c r="J5" s="19">
        <v>21.98</v>
      </c>
      <c r="K5" s="19">
        <v>1</v>
      </c>
      <c r="L5" s="19">
        <v>21.98</v>
      </c>
      <c r="M5" s="19">
        <v>0</v>
      </c>
    </row>
    <row r="6" s="17" customFormat="1" spans="1:13">
      <c r="A6" s="19" t="s">
        <v>42</v>
      </c>
      <c r="B6" s="19" t="s">
        <v>37</v>
      </c>
      <c r="C6" s="19" t="s">
        <v>38</v>
      </c>
      <c r="D6" s="19">
        <v>20.56</v>
      </c>
      <c r="E6" s="19">
        <v>157</v>
      </c>
      <c r="F6" s="19">
        <v>3</v>
      </c>
      <c r="G6" s="19">
        <v>0</v>
      </c>
      <c r="H6" s="19">
        <v>0</v>
      </c>
      <c r="I6" s="19">
        <v>2</v>
      </c>
      <c r="J6" s="19">
        <v>10.28</v>
      </c>
      <c r="K6" s="19">
        <v>2</v>
      </c>
      <c r="L6" s="19">
        <v>10.28</v>
      </c>
      <c r="M6" s="19">
        <v>0</v>
      </c>
    </row>
    <row r="7" s="17" customFormat="1" spans="1:13">
      <c r="A7" s="19" t="s">
        <v>43</v>
      </c>
      <c r="B7" s="19" t="s">
        <v>37</v>
      </c>
      <c r="C7" s="19" t="s">
        <v>38</v>
      </c>
      <c r="D7" s="19">
        <v>28.23</v>
      </c>
      <c r="E7" s="19">
        <v>157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</row>
    <row r="8" s="17" customFormat="1" spans="1:13">
      <c r="A8" s="19" t="s">
        <v>44</v>
      </c>
      <c r="B8" s="19" t="s">
        <v>37</v>
      </c>
      <c r="C8" s="19" t="s">
        <v>38</v>
      </c>
      <c r="D8" s="19">
        <v>21.69</v>
      </c>
      <c r="E8" s="19">
        <v>173</v>
      </c>
      <c r="F8" s="19">
        <v>4</v>
      </c>
      <c r="G8" s="19">
        <v>0</v>
      </c>
      <c r="H8" s="19">
        <v>0</v>
      </c>
      <c r="I8" s="19">
        <v>1</v>
      </c>
      <c r="J8" s="19">
        <v>21.69</v>
      </c>
      <c r="K8" s="19">
        <v>1</v>
      </c>
      <c r="L8" s="19">
        <v>21.69</v>
      </c>
      <c r="M8" s="19">
        <v>0</v>
      </c>
    </row>
    <row r="9" s="17" customFormat="1" spans="1:13">
      <c r="A9" s="19" t="s">
        <v>45</v>
      </c>
      <c r="B9" s="19" t="s">
        <v>37</v>
      </c>
      <c r="C9" s="19" t="s">
        <v>38</v>
      </c>
      <c r="D9" s="19">
        <v>37.93</v>
      </c>
      <c r="E9" s="19">
        <v>230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</row>
    <row r="10" s="17" customFormat="1" spans="1:13">
      <c r="A10" s="19" t="s">
        <v>46</v>
      </c>
      <c r="B10" s="19" t="s">
        <v>37</v>
      </c>
      <c r="C10" s="19" t="s">
        <v>38</v>
      </c>
      <c r="D10" s="19">
        <v>43.13</v>
      </c>
      <c r="E10" s="19">
        <v>225</v>
      </c>
      <c r="F10" s="19">
        <v>3</v>
      </c>
      <c r="G10" s="19">
        <v>0</v>
      </c>
      <c r="H10" s="19">
        <v>0</v>
      </c>
      <c r="I10" s="19">
        <v>1</v>
      </c>
      <c r="J10" s="19">
        <v>43.13</v>
      </c>
      <c r="K10" s="19">
        <v>1</v>
      </c>
      <c r="L10" s="19">
        <v>43.13</v>
      </c>
      <c r="M10" s="19">
        <v>0</v>
      </c>
    </row>
    <row r="11" s="17" customFormat="1" spans="1:13">
      <c r="A11" s="19" t="s">
        <v>47</v>
      </c>
      <c r="B11" s="19" t="s">
        <v>37</v>
      </c>
      <c r="C11" s="19" t="s">
        <v>38</v>
      </c>
      <c r="D11" s="19">
        <v>60.45</v>
      </c>
      <c r="E11" s="19">
        <v>293</v>
      </c>
      <c r="F11" s="19">
        <v>4</v>
      </c>
      <c r="G11" s="19">
        <v>0</v>
      </c>
      <c r="H11" s="19">
        <v>0</v>
      </c>
      <c r="I11" s="19">
        <v>1</v>
      </c>
      <c r="J11" s="19">
        <v>60.45</v>
      </c>
      <c r="K11" s="19">
        <v>1</v>
      </c>
      <c r="L11" s="19">
        <v>60.45</v>
      </c>
      <c r="M11" s="19">
        <v>0</v>
      </c>
    </row>
    <row r="12" s="17" customFormat="1" spans="1:13">
      <c r="A12" s="19" t="s">
        <v>48</v>
      </c>
      <c r="B12" s="19" t="s">
        <v>37</v>
      </c>
      <c r="C12" s="19" t="s">
        <v>38</v>
      </c>
      <c r="D12" s="19">
        <v>56.37</v>
      </c>
      <c r="E12" s="19">
        <v>351</v>
      </c>
      <c r="F12" s="19">
        <v>6</v>
      </c>
      <c r="G12" s="19">
        <v>0</v>
      </c>
      <c r="H12" s="19">
        <v>0</v>
      </c>
      <c r="I12" s="19">
        <v>1</v>
      </c>
      <c r="J12" s="19">
        <v>56.37</v>
      </c>
      <c r="K12" s="19">
        <v>2</v>
      </c>
      <c r="L12" s="19">
        <v>28.19</v>
      </c>
      <c r="M12" s="19">
        <v>0</v>
      </c>
    </row>
    <row r="13" s="17" customFormat="1" spans="1:13">
      <c r="A13" s="19" t="s">
        <v>49</v>
      </c>
      <c r="B13" s="19" t="s">
        <v>37</v>
      </c>
      <c r="C13" s="19" t="s">
        <v>38</v>
      </c>
      <c r="D13" s="19">
        <v>74.56</v>
      </c>
      <c r="E13" s="19">
        <v>517</v>
      </c>
      <c r="F13" s="19">
        <v>3</v>
      </c>
      <c r="G13" s="19">
        <v>1</v>
      </c>
      <c r="H13" s="19">
        <v>74.56</v>
      </c>
      <c r="I13" s="19">
        <v>2</v>
      </c>
      <c r="J13" s="19">
        <v>37.28</v>
      </c>
      <c r="K13" s="19">
        <v>1</v>
      </c>
      <c r="L13" s="19">
        <v>74.56</v>
      </c>
      <c r="M13" s="19">
        <v>30</v>
      </c>
    </row>
    <row r="14" s="17" customFormat="1" spans="1:13">
      <c r="A14" s="19" t="s">
        <v>50</v>
      </c>
      <c r="B14" s="19" t="s">
        <v>37</v>
      </c>
      <c r="C14" s="19" t="s">
        <v>38</v>
      </c>
      <c r="D14" s="19">
        <v>66.06</v>
      </c>
      <c r="E14" s="19">
        <v>432</v>
      </c>
      <c r="F14" s="19">
        <v>5</v>
      </c>
      <c r="G14" s="19">
        <v>0</v>
      </c>
      <c r="H14" s="19">
        <v>0</v>
      </c>
      <c r="I14" s="19">
        <v>1</v>
      </c>
      <c r="J14" s="19">
        <v>66.06</v>
      </c>
      <c r="K14" s="19">
        <v>1</v>
      </c>
      <c r="L14" s="19">
        <v>66.06</v>
      </c>
      <c r="M14" s="19">
        <v>0</v>
      </c>
    </row>
    <row r="15" s="17" customFormat="1" spans="1:13">
      <c r="A15" s="19" t="s">
        <v>51</v>
      </c>
      <c r="B15" s="19" t="s">
        <v>37</v>
      </c>
      <c r="C15" s="19" t="s">
        <v>38</v>
      </c>
      <c r="D15" s="19">
        <v>0.94</v>
      </c>
      <c r="E15" s="19">
        <v>40</v>
      </c>
      <c r="F15" s="19">
        <v>0</v>
      </c>
      <c r="G15" s="19">
        <v>0</v>
      </c>
      <c r="H15" s="19">
        <v>0</v>
      </c>
      <c r="I15" s="19">
        <v>1</v>
      </c>
      <c r="J15" s="19">
        <v>0.94</v>
      </c>
      <c r="K15" s="19">
        <v>1</v>
      </c>
      <c r="L15" s="19">
        <v>0.94</v>
      </c>
      <c r="M15" s="19">
        <v>0</v>
      </c>
    </row>
    <row r="16" s="17" customFormat="1" spans="1:13">
      <c r="A16" s="19" t="s">
        <v>52</v>
      </c>
      <c r="B16" s="19" t="s">
        <v>37</v>
      </c>
      <c r="C16" s="19" t="s">
        <v>38</v>
      </c>
      <c r="D16" s="19">
        <v>58.55</v>
      </c>
      <c r="E16" s="19">
        <v>416</v>
      </c>
      <c r="F16" s="19">
        <v>3</v>
      </c>
      <c r="G16" s="19">
        <v>0</v>
      </c>
      <c r="H16" s="19">
        <v>0</v>
      </c>
      <c r="I16" s="19">
        <v>1</v>
      </c>
      <c r="J16" s="19">
        <v>58.55</v>
      </c>
      <c r="K16" s="19">
        <v>1</v>
      </c>
      <c r="L16" s="19">
        <v>58.55</v>
      </c>
      <c r="M16" s="19">
        <v>0</v>
      </c>
    </row>
    <row r="17" s="17" customFormat="1" spans="1:13">
      <c r="A17" s="19" t="s">
        <v>53</v>
      </c>
      <c r="B17" s="19" t="s">
        <v>37</v>
      </c>
      <c r="C17" s="19" t="s">
        <v>38</v>
      </c>
      <c r="D17" s="19">
        <v>57</v>
      </c>
      <c r="E17" s="19">
        <v>494</v>
      </c>
      <c r="F17" s="19">
        <v>8</v>
      </c>
      <c r="G17" s="19">
        <v>0</v>
      </c>
      <c r="H17" s="19">
        <v>0</v>
      </c>
      <c r="I17" s="19">
        <v>2</v>
      </c>
      <c r="J17" s="19">
        <v>28.5</v>
      </c>
      <c r="K17" s="19">
        <v>2</v>
      </c>
      <c r="L17" s="19">
        <v>28.5</v>
      </c>
      <c r="M17" s="19">
        <v>0</v>
      </c>
    </row>
    <row r="18" s="17" customFormat="1" spans="1:13">
      <c r="A18" s="19" t="s">
        <v>54</v>
      </c>
      <c r="B18" s="19" t="s">
        <v>37</v>
      </c>
      <c r="C18" s="19" t="s">
        <v>38</v>
      </c>
      <c r="D18" s="19">
        <v>55.03</v>
      </c>
      <c r="E18" s="19">
        <v>323</v>
      </c>
      <c r="F18" s="19">
        <v>3</v>
      </c>
      <c r="G18" s="19">
        <v>0</v>
      </c>
      <c r="H18" s="19">
        <v>0</v>
      </c>
      <c r="I18" s="19">
        <v>1</v>
      </c>
      <c r="J18" s="19">
        <v>55.03</v>
      </c>
      <c r="K18" s="19">
        <v>1</v>
      </c>
      <c r="L18" s="19">
        <v>55.03</v>
      </c>
      <c r="M18" s="19">
        <v>0</v>
      </c>
    </row>
    <row r="19" s="17" customFormat="1" spans="1:13">
      <c r="A19" s="19" t="s">
        <v>55</v>
      </c>
      <c r="B19" s="19" t="s">
        <v>37</v>
      </c>
      <c r="C19" s="19" t="s">
        <v>38</v>
      </c>
      <c r="D19" s="19">
        <v>48.75</v>
      </c>
      <c r="E19" s="19">
        <v>372</v>
      </c>
      <c r="F19" s="19">
        <v>3</v>
      </c>
      <c r="G19" s="19">
        <v>0</v>
      </c>
      <c r="H19" s="19">
        <v>0</v>
      </c>
      <c r="I19" s="19">
        <v>1</v>
      </c>
      <c r="J19" s="19">
        <v>48.75</v>
      </c>
      <c r="K19" s="19">
        <v>2</v>
      </c>
      <c r="L19" s="19">
        <v>24.38</v>
      </c>
      <c r="M19" s="19">
        <v>0</v>
      </c>
    </row>
    <row r="20" s="17" customFormat="1" spans="1:13">
      <c r="A20" s="19" t="s">
        <v>56</v>
      </c>
      <c r="B20" s="19" t="s">
        <v>37</v>
      </c>
      <c r="C20" s="19" t="s">
        <v>38</v>
      </c>
      <c r="D20" s="19">
        <v>64.01</v>
      </c>
      <c r="E20" s="19">
        <v>417</v>
      </c>
      <c r="F20" s="19">
        <v>2</v>
      </c>
      <c r="G20" s="19">
        <v>0</v>
      </c>
      <c r="H20" s="19">
        <v>0</v>
      </c>
      <c r="I20" s="19">
        <v>1</v>
      </c>
      <c r="J20" s="19">
        <v>64.01</v>
      </c>
      <c r="K20" s="19">
        <v>0</v>
      </c>
      <c r="L20" s="19">
        <v>0</v>
      </c>
      <c r="M20" s="19">
        <v>0</v>
      </c>
    </row>
    <row r="21" s="17" customFormat="1" spans="1:13">
      <c r="A21" s="19" t="s">
        <v>57</v>
      </c>
      <c r="B21" s="19" t="s">
        <v>37</v>
      </c>
      <c r="C21" s="19" t="s">
        <v>38</v>
      </c>
      <c r="D21" s="19">
        <v>61.52</v>
      </c>
      <c r="E21" s="19">
        <v>532</v>
      </c>
      <c r="F21" s="19">
        <v>4</v>
      </c>
      <c r="G21" s="19">
        <v>0</v>
      </c>
      <c r="H21" s="19">
        <v>0</v>
      </c>
      <c r="I21" s="19">
        <v>6</v>
      </c>
      <c r="J21" s="19">
        <v>10.25</v>
      </c>
      <c r="K21" s="19">
        <v>6</v>
      </c>
      <c r="L21" s="19">
        <v>10.25</v>
      </c>
      <c r="M21" s="19">
        <v>0</v>
      </c>
    </row>
    <row r="22" s="17" customFormat="1" spans="1:13">
      <c r="A22" s="19" t="s">
        <v>58</v>
      </c>
      <c r="B22" s="19" t="s">
        <v>37</v>
      </c>
      <c r="C22" s="19" t="s">
        <v>38</v>
      </c>
      <c r="D22" s="19">
        <v>56.78</v>
      </c>
      <c r="E22" s="19">
        <v>444</v>
      </c>
      <c r="F22" s="19">
        <v>2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</row>
    <row r="23" s="17" customFormat="1" spans="1:13">
      <c r="A23" s="19" t="s">
        <v>59</v>
      </c>
      <c r="B23" s="19" t="s">
        <v>37</v>
      </c>
      <c r="C23" s="19" t="s">
        <v>38</v>
      </c>
      <c r="D23" s="19">
        <v>56.86</v>
      </c>
      <c r="E23" s="19">
        <v>408</v>
      </c>
      <c r="F23" s="19">
        <v>4</v>
      </c>
      <c r="G23" s="19">
        <v>0</v>
      </c>
      <c r="H23" s="19">
        <v>0</v>
      </c>
      <c r="I23" s="19">
        <v>1</v>
      </c>
      <c r="J23" s="19">
        <v>56.86</v>
      </c>
      <c r="K23" s="19">
        <v>1</v>
      </c>
      <c r="L23" s="19">
        <v>56.86</v>
      </c>
      <c r="M23" s="19">
        <v>0</v>
      </c>
    </row>
    <row r="24" s="17" customFormat="1" spans="1:13">
      <c r="A24" s="19" t="s">
        <v>60</v>
      </c>
      <c r="B24" s="19" t="s">
        <v>37</v>
      </c>
      <c r="C24" s="19" t="s">
        <v>38</v>
      </c>
      <c r="D24" s="19">
        <v>48.56</v>
      </c>
      <c r="E24" s="19">
        <v>394</v>
      </c>
      <c r="F24" s="19">
        <v>8</v>
      </c>
      <c r="G24" s="19">
        <v>0</v>
      </c>
      <c r="H24" s="19">
        <v>0</v>
      </c>
      <c r="I24" s="19">
        <v>1</v>
      </c>
      <c r="J24" s="19">
        <v>48.56</v>
      </c>
      <c r="K24" s="19">
        <v>1</v>
      </c>
      <c r="L24" s="19">
        <v>48.56</v>
      </c>
      <c r="M24" s="19">
        <v>0</v>
      </c>
    </row>
    <row r="25" s="17" customFormat="1" spans="1:13">
      <c r="A25" s="19" t="s">
        <v>61</v>
      </c>
      <c r="B25" s="19" t="s">
        <v>37</v>
      </c>
      <c r="C25" s="19" t="s">
        <v>38</v>
      </c>
      <c r="D25" s="19">
        <v>26.36</v>
      </c>
      <c r="E25" s="19">
        <v>244</v>
      </c>
      <c r="F25" s="19">
        <v>4</v>
      </c>
      <c r="G25" s="19">
        <v>0</v>
      </c>
      <c r="H25" s="19">
        <v>0</v>
      </c>
      <c r="I25" s="19">
        <v>1</v>
      </c>
      <c r="J25" s="19">
        <v>26.36</v>
      </c>
      <c r="K25" s="19">
        <v>1</v>
      </c>
      <c r="L25" s="19">
        <v>26.36</v>
      </c>
      <c r="M25" s="19">
        <v>0</v>
      </c>
    </row>
    <row r="26" s="17" customFormat="1" spans="1:13">
      <c r="A26" s="19" t="s">
        <v>62</v>
      </c>
      <c r="B26" s="19" t="s">
        <v>37</v>
      </c>
      <c r="C26" s="19" t="s">
        <v>38</v>
      </c>
      <c r="D26" s="19">
        <v>92.45</v>
      </c>
      <c r="E26" s="19">
        <v>650</v>
      </c>
      <c r="F26" s="19">
        <v>6</v>
      </c>
      <c r="G26" s="19">
        <v>0</v>
      </c>
      <c r="H26" s="19">
        <v>0</v>
      </c>
      <c r="I26" s="19">
        <v>2</v>
      </c>
      <c r="J26" s="19">
        <v>46.23</v>
      </c>
      <c r="K26" s="19">
        <v>3</v>
      </c>
      <c r="L26" s="19">
        <v>30.82</v>
      </c>
      <c r="M26" s="19">
        <v>0</v>
      </c>
    </row>
    <row r="27" s="17" customFormat="1" spans="1:13">
      <c r="A27" s="19" t="s">
        <v>63</v>
      </c>
      <c r="B27" s="19" t="s">
        <v>37</v>
      </c>
      <c r="C27" s="19" t="s">
        <v>38</v>
      </c>
      <c r="D27" s="19">
        <v>61.52</v>
      </c>
      <c r="E27" s="19">
        <v>418</v>
      </c>
      <c r="F27" s="19">
        <v>4</v>
      </c>
      <c r="G27" s="19">
        <v>0</v>
      </c>
      <c r="H27" s="19">
        <v>0</v>
      </c>
      <c r="I27" s="19">
        <v>1</v>
      </c>
      <c r="J27" s="19">
        <v>61.52</v>
      </c>
      <c r="K27" s="19">
        <v>1</v>
      </c>
      <c r="L27" s="19">
        <v>61.52</v>
      </c>
      <c r="M27" s="19">
        <v>0</v>
      </c>
    </row>
    <row r="28" s="17" customFormat="1" spans="1:13">
      <c r="A28" s="19" t="s">
        <v>64</v>
      </c>
      <c r="B28" s="19" t="s">
        <v>37</v>
      </c>
      <c r="C28" s="19" t="s">
        <v>38</v>
      </c>
      <c r="D28" s="19">
        <v>31.34</v>
      </c>
      <c r="E28" s="19">
        <v>246</v>
      </c>
      <c r="F28" s="19">
        <v>1</v>
      </c>
      <c r="G28" s="19">
        <v>0</v>
      </c>
      <c r="H28" s="19">
        <v>0</v>
      </c>
      <c r="I28" s="19">
        <v>1</v>
      </c>
      <c r="J28" s="19">
        <v>31.34</v>
      </c>
      <c r="K28" s="19">
        <v>1</v>
      </c>
      <c r="L28" s="19">
        <v>31.34</v>
      </c>
      <c r="M28" s="19">
        <v>0</v>
      </c>
    </row>
    <row r="29" s="17" customFormat="1" spans="1:13">
      <c r="A29" s="19" t="s">
        <v>65</v>
      </c>
      <c r="B29" s="19" t="s">
        <v>37</v>
      </c>
      <c r="C29" s="19" t="s">
        <v>38</v>
      </c>
      <c r="D29" s="19">
        <v>21.48</v>
      </c>
      <c r="E29" s="19">
        <v>159</v>
      </c>
      <c r="F29" s="19">
        <v>1</v>
      </c>
      <c r="G29" s="19">
        <v>1</v>
      </c>
      <c r="H29" s="19">
        <v>21.48</v>
      </c>
      <c r="I29" s="19">
        <v>0</v>
      </c>
      <c r="J29" s="19">
        <v>0</v>
      </c>
      <c r="K29" s="19">
        <v>0</v>
      </c>
      <c r="L29" s="19">
        <v>0</v>
      </c>
      <c r="M29" s="19">
        <v>90</v>
      </c>
    </row>
    <row r="30" s="17" customFormat="1" spans="1:13">
      <c r="A30" s="19" t="s">
        <v>66</v>
      </c>
      <c r="B30" s="19" t="s">
        <v>37</v>
      </c>
      <c r="C30" s="19" t="s">
        <v>38</v>
      </c>
      <c r="D30" s="19">
        <v>17.68</v>
      </c>
      <c r="E30" s="19">
        <v>126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</row>
    <row r="31" s="17" customFormat="1" spans="1:13">
      <c r="A31" s="19" t="s">
        <v>67</v>
      </c>
      <c r="B31" s="19" t="s">
        <v>37</v>
      </c>
      <c r="C31" s="19" t="s">
        <v>38</v>
      </c>
      <c r="D31" s="19">
        <v>18.96</v>
      </c>
      <c r="E31" s="19">
        <v>205</v>
      </c>
      <c r="F31" s="19">
        <v>1</v>
      </c>
      <c r="G31" s="19">
        <v>0</v>
      </c>
      <c r="H31" s="19">
        <v>0</v>
      </c>
      <c r="I31" s="19">
        <v>1</v>
      </c>
      <c r="J31" s="19">
        <v>18.96</v>
      </c>
      <c r="K31" s="19">
        <v>1</v>
      </c>
      <c r="L31" s="19">
        <v>18.96</v>
      </c>
      <c r="M31" s="19">
        <v>0</v>
      </c>
    </row>
    <row r="32" s="17" customFormat="1" spans="1:13">
      <c r="A32" s="19" t="s">
        <v>68</v>
      </c>
      <c r="B32" s="19" t="s">
        <v>37</v>
      </c>
      <c r="C32" s="19" t="s">
        <v>38</v>
      </c>
      <c r="D32" s="19">
        <v>23.15</v>
      </c>
      <c r="E32" s="19">
        <v>204</v>
      </c>
      <c r="F32" s="19">
        <v>2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</row>
    <row r="33" s="17" customFormat="1" spans="1:13">
      <c r="A33" s="19" t="s">
        <v>69</v>
      </c>
      <c r="B33" s="19" t="s">
        <v>37</v>
      </c>
      <c r="C33" s="19" t="s">
        <v>38</v>
      </c>
      <c r="D33" s="19">
        <v>37</v>
      </c>
      <c r="E33" s="19">
        <v>248</v>
      </c>
      <c r="F33" s="19">
        <v>2</v>
      </c>
      <c r="G33" s="19">
        <v>0</v>
      </c>
      <c r="H33" s="19">
        <v>0</v>
      </c>
      <c r="I33" s="19">
        <v>1</v>
      </c>
      <c r="J33" s="19">
        <v>37</v>
      </c>
      <c r="K33" s="19">
        <v>1</v>
      </c>
      <c r="L33" s="19">
        <v>37</v>
      </c>
      <c r="M33" s="19">
        <v>0</v>
      </c>
    </row>
    <row r="34" s="17" customFormat="1" spans="1:13">
      <c r="A34" s="19" t="s">
        <v>70</v>
      </c>
      <c r="B34" s="19" t="s">
        <v>37</v>
      </c>
      <c r="C34" s="19" t="s">
        <v>38</v>
      </c>
      <c r="D34" s="19">
        <v>54.69</v>
      </c>
      <c r="E34" s="19">
        <v>319</v>
      </c>
      <c r="F34" s="19">
        <v>5</v>
      </c>
      <c r="G34" s="19">
        <v>0</v>
      </c>
      <c r="H34" s="19">
        <v>0</v>
      </c>
      <c r="I34" s="19">
        <v>2</v>
      </c>
      <c r="J34" s="19">
        <v>27.35</v>
      </c>
      <c r="K34" s="19">
        <v>2</v>
      </c>
      <c r="L34" s="19">
        <v>27.35</v>
      </c>
      <c r="M34" s="19">
        <v>0</v>
      </c>
    </row>
    <row r="35" s="17" customFormat="1" spans="1:13">
      <c r="A35" s="19" t="s">
        <v>71</v>
      </c>
      <c r="B35" s="19" t="s">
        <v>37</v>
      </c>
      <c r="C35" s="19" t="s">
        <v>38</v>
      </c>
      <c r="D35" s="19">
        <v>61.79</v>
      </c>
      <c r="E35" s="19">
        <v>316</v>
      </c>
      <c r="F35" s="19">
        <v>6</v>
      </c>
      <c r="G35" s="19">
        <v>1</v>
      </c>
      <c r="H35" s="19">
        <v>61.79</v>
      </c>
      <c r="I35" s="19">
        <v>0</v>
      </c>
      <c r="J35" s="19">
        <v>0</v>
      </c>
      <c r="K35" s="19">
        <v>0</v>
      </c>
      <c r="L35" s="19">
        <v>0</v>
      </c>
      <c r="M35" s="19">
        <v>6</v>
      </c>
    </row>
    <row r="36" s="17" customFormat="1" spans="1:13">
      <c r="A36" s="19" t="s">
        <v>72</v>
      </c>
      <c r="B36" s="19" t="s">
        <v>37</v>
      </c>
      <c r="C36" s="19" t="s">
        <v>38</v>
      </c>
      <c r="D36" s="19">
        <v>83.11</v>
      </c>
      <c r="E36" s="19">
        <v>456</v>
      </c>
      <c r="F36" s="19">
        <v>4</v>
      </c>
      <c r="G36" s="19">
        <v>0</v>
      </c>
      <c r="H36" s="19">
        <v>0</v>
      </c>
      <c r="I36" s="19">
        <v>1</v>
      </c>
      <c r="J36" s="19">
        <v>83.11</v>
      </c>
      <c r="K36" s="19">
        <v>2</v>
      </c>
      <c r="L36" s="19">
        <v>41.56</v>
      </c>
      <c r="M36" s="19">
        <v>0</v>
      </c>
    </row>
    <row r="37" s="17" customFormat="1" spans="1:13">
      <c r="A37" s="19" t="s">
        <v>73</v>
      </c>
      <c r="B37" s="19" t="s">
        <v>37</v>
      </c>
      <c r="C37" s="19" t="s">
        <v>38</v>
      </c>
      <c r="D37" s="19">
        <v>81.38</v>
      </c>
      <c r="E37" s="19">
        <v>503</v>
      </c>
      <c r="F37" s="19">
        <v>8</v>
      </c>
      <c r="G37" s="19">
        <v>0</v>
      </c>
      <c r="H37" s="19">
        <v>0</v>
      </c>
      <c r="I37" s="19">
        <v>2</v>
      </c>
      <c r="J37" s="19">
        <v>40.69</v>
      </c>
      <c r="K37" s="19">
        <v>2</v>
      </c>
      <c r="L37" s="19">
        <v>40.69</v>
      </c>
      <c r="M37" s="19">
        <v>0</v>
      </c>
    </row>
    <row r="38" s="17" customFormat="1" spans="1:13">
      <c r="A38" s="19" t="s">
        <v>74</v>
      </c>
      <c r="B38" s="19" t="s">
        <v>37</v>
      </c>
      <c r="C38" s="19" t="s">
        <v>38</v>
      </c>
      <c r="D38" s="19">
        <v>87.26</v>
      </c>
      <c r="E38" s="19">
        <v>602</v>
      </c>
      <c r="F38" s="19">
        <v>6</v>
      </c>
      <c r="G38" s="19">
        <v>0</v>
      </c>
      <c r="H38" s="19">
        <v>0</v>
      </c>
      <c r="I38" s="19">
        <v>3</v>
      </c>
      <c r="J38" s="19">
        <v>29.09</v>
      </c>
      <c r="K38" s="19">
        <v>3</v>
      </c>
      <c r="L38" s="19">
        <v>29.09</v>
      </c>
      <c r="M38" s="19">
        <v>0</v>
      </c>
    </row>
    <row r="39" s="17" customFormat="1" spans="1:13">
      <c r="A39" s="19" t="s">
        <v>75</v>
      </c>
      <c r="B39" s="19" t="s">
        <v>37</v>
      </c>
      <c r="C39" s="19" t="s">
        <v>38</v>
      </c>
      <c r="D39" s="19">
        <v>42.62</v>
      </c>
      <c r="E39" s="19">
        <v>283</v>
      </c>
      <c r="F39" s="19">
        <v>4</v>
      </c>
      <c r="G39" s="19">
        <v>0</v>
      </c>
      <c r="H39" s="19">
        <v>0</v>
      </c>
      <c r="I39" s="19">
        <v>4</v>
      </c>
      <c r="J39" s="19">
        <v>10.66</v>
      </c>
      <c r="K39" s="19">
        <v>4</v>
      </c>
      <c r="L39" s="19">
        <v>10.66</v>
      </c>
      <c r="M39" s="19">
        <v>0</v>
      </c>
    </row>
    <row r="40" s="17" customFormat="1" spans="1:13">
      <c r="A40" s="19" t="s">
        <v>76</v>
      </c>
      <c r="B40" s="19" t="s">
        <v>37</v>
      </c>
      <c r="C40" s="19" t="s">
        <v>38</v>
      </c>
      <c r="D40" s="19">
        <v>27.57</v>
      </c>
      <c r="E40" s="19">
        <v>183</v>
      </c>
      <c r="F40" s="19">
        <v>3</v>
      </c>
      <c r="G40" s="19">
        <v>0</v>
      </c>
      <c r="H40" s="19">
        <v>0</v>
      </c>
      <c r="I40" s="19">
        <v>0</v>
      </c>
      <c r="J40" s="19">
        <v>0</v>
      </c>
      <c r="K40" s="19">
        <v>1</v>
      </c>
      <c r="L40" s="19">
        <v>27.57</v>
      </c>
      <c r="M40" s="19">
        <v>0</v>
      </c>
    </row>
    <row r="41" s="17" customFormat="1" spans="1:13">
      <c r="A41" s="19" t="s">
        <v>77</v>
      </c>
      <c r="B41" s="19" t="s">
        <v>37</v>
      </c>
      <c r="C41" s="19" t="s">
        <v>38</v>
      </c>
      <c r="D41" s="19">
        <v>25.02</v>
      </c>
      <c r="E41" s="19">
        <v>126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</row>
    <row r="42" s="17" customFormat="1" spans="1:13">
      <c r="A42" s="19" t="s">
        <v>78</v>
      </c>
      <c r="B42" s="19" t="s">
        <v>37</v>
      </c>
      <c r="C42" s="19" t="s">
        <v>38</v>
      </c>
      <c r="D42" s="19">
        <v>28.68</v>
      </c>
      <c r="E42" s="19">
        <v>165</v>
      </c>
      <c r="F42" s="19">
        <v>1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</row>
    <row r="43" s="17" customFormat="1" spans="1:13">
      <c r="A43" s="19" t="s">
        <v>79</v>
      </c>
      <c r="B43" s="19" t="s">
        <v>37</v>
      </c>
      <c r="C43" s="19" t="s">
        <v>38</v>
      </c>
      <c r="D43" s="19">
        <v>44.63</v>
      </c>
      <c r="E43" s="19">
        <v>250</v>
      </c>
      <c r="F43" s="19">
        <v>2</v>
      </c>
      <c r="G43" s="19">
        <v>1</v>
      </c>
      <c r="H43" s="19">
        <v>44.63</v>
      </c>
      <c r="I43" s="19">
        <v>2</v>
      </c>
      <c r="J43" s="19">
        <v>22.32</v>
      </c>
      <c r="K43" s="19">
        <v>2</v>
      </c>
      <c r="L43" s="19">
        <v>22.32</v>
      </c>
      <c r="M43" s="19">
        <v>6</v>
      </c>
    </row>
    <row r="44" s="17" customFormat="1" spans="1:13">
      <c r="A44" s="19" t="s">
        <v>80</v>
      </c>
      <c r="B44" s="19" t="s">
        <v>37</v>
      </c>
      <c r="C44" s="19" t="s">
        <v>38</v>
      </c>
      <c r="D44" s="19">
        <v>71.73</v>
      </c>
      <c r="E44" s="19">
        <v>495</v>
      </c>
      <c r="F44" s="19">
        <v>5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</row>
    <row r="45" s="17" customFormat="1" spans="1:13">
      <c r="A45" s="19" t="s">
        <v>81</v>
      </c>
      <c r="B45" s="19" t="s">
        <v>37</v>
      </c>
      <c r="C45" s="19" t="s">
        <v>38</v>
      </c>
      <c r="D45" s="19">
        <v>72.86</v>
      </c>
      <c r="E45" s="19">
        <v>522</v>
      </c>
      <c r="F45" s="19">
        <v>4</v>
      </c>
      <c r="G45" s="19">
        <v>0</v>
      </c>
      <c r="H45" s="19">
        <v>0</v>
      </c>
      <c r="I45" s="19">
        <v>2</v>
      </c>
      <c r="J45" s="19">
        <v>36.43</v>
      </c>
      <c r="K45" s="19">
        <v>2</v>
      </c>
      <c r="L45" s="19">
        <v>36.43</v>
      </c>
      <c r="M45" s="19">
        <v>0</v>
      </c>
    </row>
    <row r="46" s="17" customFormat="1" spans="1:13">
      <c r="A46" s="19" t="s">
        <v>82</v>
      </c>
      <c r="B46" s="19" t="s">
        <v>37</v>
      </c>
      <c r="C46" s="19" t="s">
        <v>38</v>
      </c>
      <c r="D46" s="19">
        <v>90.04</v>
      </c>
      <c r="E46" s="19">
        <v>529</v>
      </c>
      <c r="F46" s="19">
        <v>7</v>
      </c>
      <c r="G46" s="19">
        <v>1</v>
      </c>
      <c r="H46" s="19">
        <v>90.04</v>
      </c>
      <c r="I46" s="19">
        <v>1</v>
      </c>
      <c r="J46" s="19">
        <v>90.04</v>
      </c>
      <c r="K46" s="19">
        <v>2</v>
      </c>
      <c r="L46" s="19">
        <v>45.02</v>
      </c>
      <c r="M46" s="19">
        <v>30</v>
      </c>
    </row>
    <row r="47" s="17" customFormat="1" spans="1:13">
      <c r="A47" s="19" t="s">
        <v>83</v>
      </c>
      <c r="B47" s="19" t="s">
        <v>37</v>
      </c>
      <c r="C47" s="19" t="s">
        <v>38</v>
      </c>
      <c r="D47" s="19">
        <v>79.86</v>
      </c>
      <c r="E47" s="19">
        <v>487</v>
      </c>
      <c r="F47" s="19">
        <v>4</v>
      </c>
      <c r="G47" s="19">
        <v>0</v>
      </c>
      <c r="H47" s="19">
        <v>0</v>
      </c>
      <c r="I47" s="19">
        <v>3</v>
      </c>
      <c r="J47" s="19">
        <v>26.62</v>
      </c>
      <c r="K47" s="19">
        <v>2</v>
      </c>
      <c r="L47" s="19">
        <v>39.93</v>
      </c>
      <c r="M47" s="19">
        <v>0</v>
      </c>
    </row>
    <row r="48" s="17" customFormat="1" spans="1:13">
      <c r="A48" s="19" t="s">
        <v>84</v>
      </c>
      <c r="B48" s="19" t="s">
        <v>37</v>
      </c>
      <c r="C48" s="19" t="s">
        <v>38</v>
      </c>
      <c r="D48" s="19">
        <v>66.4</v>
      </c>
      <c r="E48" s="19">
        <v>470</v>
      </c>
      <c r="F48" s="19">
        <v>6</v>
      </c>
      <c r="G48" s="19">
        <v>0</v>
      </c>
      <c r="H48" s="19">
        <v>0</v>
      </c>
      <c r="I48" s="19">
        <v>3</v>
      </c>
      <c r="J48" s="19">
        <v>22.13</v>
      </c>
      <c r="K48" s="19">
        <v>3</v>
      </c>
      <c r="L48" s="19">
        <v>22.13</v>
      </c>
      <c r="M48" s="19">
        <v>0</v>
      </c>
    </row>
    <row r="49" s="17" customFormat="1" spans="1:13">
      <c r="A49" s="19" t="s">
        <v>85</v>
      </c>
      <c r="B49" s="19" t="s">
        <v>37</v>
      </c>
      <c r="C49" s="19" t="s">
        <v>38</v>
      </c>
      <c r="D49" s="19">
        <v>37.22</v>
      </c>
      <c r="E49" s="19">
        <v>255</v>
      </c>
      <c r="F49" s="19">
        <v>3</v>
      </c>
      <c r="G49" s="19">
        <v>0</v>
      </c>
      <c r="H49" s="19">
        <v>0</v>
      </c>
      <c r="I49" s="19">
        <v>1</v>
      </c>
      <c r="J49" s="19">
        <v>37.22</v>
      </c>
      <c r="K49" s="19">
        <v>1</v>
      </c>
      <c r="L49" s="19">
        <v>37.22</v>
      </c>
      <c r="M49" s="19">
        <v>0</v>
      </c>
    </row>
    <row r="50" s="17" customFormat="1" spans="1:13">
      <c r="A50" s="19" t="s">
        <v>86</v>
      </c>
      <c r="B50" s="19" t="s">
        <v>37</v>
      </c>
      <c r="C50" s="19" t="s">
        <v>38</v>
      </c>
      <c r="D50" s="19">
        <v>160.56</v>
      </c>
      <c r="E50" s="19">
        <v>1087</v>
      </c>
      <c r="F50" s="19">
        <v>8</v>
      </c>
      <c r="G50" s="19">
        <v>0</v>
      </c>
      <c r="H50" s="19">
        <v>0</v>
      </c>
      <c r="I50" s="19">
        <v>3</v>
      </c>
      <c r="J50" s="19">
        <v>53.52</v>
      </c>
      <c r="K50" s="19">
        <v>3</v>
      </c>
      <c r="L50" s="19">
        <v>53.52</v>
      </c>
      <c r="M50" s="19">
        <v>0</v>
      </c>
    </row>
    <row r="51" s="17" customFormat="1" spans="1:13">
      <c r="A51" s="19" t="s">
        <v>87</v>
      </c>
      <c r="B51" s="19" t="s">
        <v>37</v>
      </c>
      <c r="C51" s="19" t="s">
        <v>38</v>
      </c>
      <c r="D51" s="19">
        <v>113</v>
      </c>
      <c r="E51" s="19">
        <v>850</v>
      </c>
      <c r="F51" s="19">
        <v>10</v>
      </c>
      <c r="G51" s="19">
        <v>0</v>
      </c>
      <c r="H51" s="19">
        <v>0</v>
      </c>
      <c r="I51" s="19">
        <v>1</v>
      </c>
      <c r="J51" s="19">
        <v>113</v>
      </c>
      <c r="K51" s="19">
        <v>1</v>
      </c>
      <c r="L51" s="19">
        <v>113</v>
      </c>
      <c r="M51" s="19">
        <v>0</v>
      </c>
    </row>
    <row r="52" s="17" customFormat="1" spans="1:13">
      <c r="A52" s="19" t="s">
        <v>88</v>
      </c>
      <c r="B52" s="19" t="s">
        <v>37</v>
      </c>
      <c r="C52" s="19" t="s">
        <v>38</v>
      </c>
      <c r="D52" s="19">
        <v>63.74</v>
      </c>
      <c r="E52" s="19">
        <v>464</v>
      </c>
      <c r="F52" s="19">
        <v>2</v>
      </c>
      <c r="G52" s="19">
        <v>0</v>
      </c>
      <c r="H52" s="19">
        <v>0</v>
      </c>
      <c r="I52" s="19">
        <v>1</v>
      </c>
      <c r="J52" s="19">
        <v>63.74</v>
      </c>
      <c r="K52" s="19">
        <v>1</v>
      </c>
      <c r="L52" s="19">
        <v>63.74</v>
      </c>
      <c r="M52" s="19">
        <v>0</v>
      </c>
    </row>
    <row r="53" s="17" customFormat="1" spans="1:13">
      <c r="A53" s="19" t="s">
        <v>89</v>
      </c>
      <c r="B53" s="19" t="s">
        <v>37</v>
      </c>
      <c r="C53" s="19" t="s">
        <v>38</v>
      </c>
      <c r="D53" s="19">
        <v>42.04</v>
      </c>
      <c r="E53" s="19">
        <v>336</v>
      </c>
      <c r="F53" s="19">
        <v>3</v>
      </c>
      <c r="G53" s="19">
        <v>0</v>
      </c>
      <c r="H53" s="19">
        <v>0</v>
      </c>
      <c r="I53" s="19">
        <v>1</v>
      </c>
      <c r="J53" s="19">
        <v>42.04</v>
      </c>
      <c r="K53" s="19">
        <v>1</v>
      </c>
      <c r="L53" s="19">
        <v>42.04</v>
      </c>
      <c r="M53" s="19">
        <v>0</v>
      </c>
    </row>
    <row r="54" s="17" customFormat="1" spans="1:13">
      <c r="A54" s="19" t="s">
        <v>90</v>
      </c>
      <c r="B54" s="19" t="s">
        <v>37</v>
      </c>
      <c r="C54" s="19" t="s">
        <v>38</v>
      </c>
      <c r="D54" s="19">
        <v>33.53</v>
      </c>
      <c r="E54" s="19">
        <v>284</v>
      </c>
      <c r="F54" s="19">
        <v>0</v>
      </c>
      <c r="G54" s="19">
        <v>0</v>
      </c>
      <c r="H54" s="19">
        <v>0</v>
      </c>
      <c r="I54" s="19">
        <v>1</v>
      </c>
      <c r="J54" s="19">
        <v>33.53</v>
      </c>
      <c r="K54" s="19">
        <v>1</v>
      </c>
      <c r="L54" s="19">
        <v>33.53</v>
      </c>
      <c r="M54" s="19">
        <v>0</v>
      </c>
    </row>
    <row r="55" s="17" customFormat="1" spans="1:13">
      <c r="A55" s="19" t="s">
        <v>91</v>
      </c>
      <c r="B55" s="19" t="s">
        <v>37</v>
      </c>
      <c r="C55" s="19" t="s">
        <v>38</v>
      </c>
      <c r="D55" s="19">
        <v>34.83</v>
      </c>
      <c r="E55" s="19">
        <v>255</v>
      </c>
      <c r="F55" s="19">
        <v>3</v>
      </c>
      <c r="G55" s="19">
        <v>0</v>
      </c>
      <c r="H55" s="19">
        <v>0</v>
      </c>
      <c r="I55" s="19">
        <v>2</v>
      </c>
      <c r="J55" s="19">
        <v>17.42</v>
      </c>
      <c r="K55" s="19">
        <v>2</v>
      </c>
      <c r="L55" s="19">
        <v>17.42</v>
      </c>
      <c r="M55" s="19">
        <v>0</v>
      </c>
    </row>
    <row r="56" s="17" customFormat="1" spans="1:13">
      <c r="A56" s="19" t="s">
        <v>92</v>
      </c>
      <c r="B56" s="19" t="s">
        <v>37</v>
      </c>
      <c r="C56" s="19" t="s">
        <v>38</v>
      </c>
      <c r="D56" s="19">
        <v>52.61</v>
      </c>
      <c r="E56" s="19">
        <v>309</v>
      </c>
      <c r="F56" s="19">
        <v>7</v>
      </c>
      <c r="G56" s="19">
        <v>0</v>
      </c>
      <c r="H56" s="19">
        <v>0</v>
      </c>
      <c r="I56" s="19">
        <v>4</v>
      </c>
      <c r="J56" s="19">
        <v>13.15</v>
      </c>
      <c r="K56" s="19">
        <v>3</v>
      </c>
      <c r="L56" s="19">
        <v>17.54</v>
      </c>
      <c r="M56" s="19">
        <v>0</v>
      </c>
    </row>
    <row r="57" s="17" customFormat="1" spans="1:13">
      <c r="A57" s="19" t="s">
        <v>93</v>
      </c>
      <c r="B57" s="19" t="s">
        <v>37</v>
      </c>
      <c r="C57" s="19" t="s">
        <v>38</v>
      </c>
      <c r="D57" s="19">
        <v>51.19</v>
      </c>
      <c r="E57" s="19">
        <v>405</v>
      </c>
      <c r="F57" s="19">
        <v>4</v>
      </c>
      <c r="G57" s="19">
        <v>0</v>
      </c>
      <c r="H57" s="19">
        <v>0</v>
      </c>
      <c r="I57" s="19">
        <v>1</v>
      </c>
      <c r="J57" s="19">
        <v>51.19</v>
      </c>
      <c r="K57" s="19">
        <v>2</v>
      </c>
      <c r="L57" s="19">
        <v>25.6</v>
      </c>
      <c r="M57" s="19">
        <v>0</v>
      </c>
    </row>
    <row r="58" s="17" customFormat="1" spans="1:13">
      <c r="A58" s="19" t="s">
        <v>94</v>
      </c>
      <c r="B58" s="19" t="s">
        <v>37</v>
      </c>
      <c r="C58" s="19" t="s">
        <v>38</v>
      </c>
      <c r="D58" s="19">
        <v>74.67</v>
      </c>
      <c r="E58" s="19">
        <v>534</v>
      </c>
      <c r="F58" s="19">
        <v>8</v>
      </c>
      <c r="G58" s="19">
        <v>0</v>
      </c>
      <c r="H58" s="19">
        <v>0</v>
      </c>
      <c r="I58" s="19">
        <v>2</v>
      </c>
      <c r="J58" s="19">
        <v>37.34</v>
      </c>
      <c r="K58" s="19">
        <v>3</v>
      </c>
      <c r="L58" s="19">
        <v>24.89</v>
      </c>
      <c r="M58" s="19">
        <v>0</v>
      </c>
    </row>
    <row r="59" s="17" customFormat="1" spans="1:13">
      <c r="A59" s="19" t="s">
        <v>95</v>
      </c>
      <c r="B59" s="19" t="s">
        <v>37</v>
      </c>
      <c r="C59" s="19" t="s">
        <v>38</v>
      </c>
      <c r="D59" s="19">
        <v>40.98</v>
      </c>
      <c r="E59" s="19">
        <v>387</v>
      </c>
      <c r="F59" s="19">
        <v>4</v>
      </c>
      <c r="G59" s="19">
        <v>0</v>
      </c>
      <c r="H59" s="19">
        <v>0</v>
      </c>
      <c r="I59" s="19">
        <v>2</v>
      </c>
      <c r="J59" s="19">
        <v>20.49</v>
      </c>
      <c r="K59" s="19">
        <v>1</v>
      </c>
      <c r="L59" s="19">
        <v>40.98</v>
      </c>
      <c r="M59" s="19">
        <v>0</v>
      </c>
    </row>
    <row r="60" s="17" customFormat="1" spans="1:13">
      <c r="A60" s="19" t="s">
        <v>96</v>
      </c>
      <c r="B60" s="19" t="s">
        <v>37</v>
      </c>
      <c r="C60" s="19" t="s">
        <v>38</v>
      </c>
      <c r="D60" s="19">
        <v>52.48</v>
      </c>
      <c r="E60" s="19">
        <v>431</v>
      </c>
      <c r="F60" s="19">
        <v>4</v>
      </c>
      <c r="G60" s="19">
        <v>0</v>
      </c>
      <c r="H60" s="19">
        <v>0</v>
      </c>
      <c r="I60" s="19">
        <v>2</v>
      </c>
      <c r="J60" s="19">
        <v>26.24</v>
      </c>
      <c r="K60" s="19">
        <v>2</v>
      </c>
      <c r="L60" s="19">
        <v>26.24</v>
      </c>
      <c r="M60" s="19">
        <v>0</v>
      </c>
    </row>
    <row r="61" s="17" customFormat="1" spans="1:13">
      <c r="A61" s="19" t="s">
        <v>97</v>
      </c>
      <c r="B61" s="19" t="s">
        <v>37</v>
      </c>
      <c r="C61" s="19" t="s">
        <v>38</v>
      </c>
      <c r="D61" s="19">
        <v>53.29</v>
      </c>
      <c r="E61" s="19">
        <v>508</v>
      </c>
      <c r="F61" s="19">
        <v>1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</row>
    <row r="62" s="17" customFormat="1" spans="1:13">
      <c r="A62" s="19" t="s">
        <v>98</v>
      </c>
      <c r="B62" s="19" t="s">
        <v>37</v>
      </c>
      <c r="C62" s="19" t="s">
        <v>38</v>
      </c>
      <c r="D62" s="19">
        <v>54.2</v>
      </c>
      <c r="E62" s="19">
        <v>450</v>
      </c>
      <c r="F62" s="19">
        <v>3</v>
      </c>
      <c r="G62" s="19">
        <v>0</v>
      </c>
      <c r="H62" s="19">
        <v>0</v>
      </c>
      <c r="I62" s="19">
        <v>2</v>
      </c>
      <c r="J62" s="19">
        <v>27.1</v>
      </c>
      <c r="K62" s="19">
        <v>2</v>
      </c>
      <c r="L62" s="19">
        <v>27.1</v>
      </c>
      <c r="M62" s="19">
        <v>0</v>
      </c>
    </row>
    <row r="63" s="17" customFormat="1" spans="1:13">
      <c r="A63" s="19" t="s">
        <v>99</v>
      </c>
      <c r="B63" s="19" t="s">
        <v>37</v>
      </c>
      <c r="C63" s="19" t="s">
        <v>38</v>
      </c>
      <c r="D63" s="19">
        <v>1.56</v>
      </c>
      <c r="E63" s="19">
        <v>63</v>
      </c>
      <c r="F63" s="19">
        <v>2</v>
      </c>
      <c r="G63" s="19">
        <v>0</v>
      </c>
      <c r="H63" s="19">
        <v>0</v>
      </c>
      <c r="I63" s="19">
        <v>0</v>
      </c>
      <c r="J63" s="19">
        <v>0</v>
      </c>
      <c r="K63" s="19">
        <v>1</v>
      </c>
      <c r="L63" s="19">
        <v>1.56</v>
      </c>
      <c r="M63" s="19">
        <v>0</v>
      </c>
    </row>
    <row r="64" s="17" customFormat="1" spans="1:13">
      <c r="A64" s="19" t="s">
        <v>100</v>
      </c>
      <c r="B64" s="19" t="s">
        <v>37</v>
      </c>
      <c r="C64" s="19" t="s">
        <v>38</v>
      </c>
      <c r="D64" s="19">
        <v>0</v>
      </c>
      <c r="E64" s="19">
        <v>17</v>
      </c>
      <c r="F64" s="19">
        <v>0</v>
      </c>
      <c r="G64" s="19">
        <v>0</v>
      </c>
      <c r="H64" s="19">
        <v>0</v>
      </c>
      <c r="I64" s="19">
        <v>1</v>
      </c>
      <c r="J64" s="19">
        <v>0</v>
      </c>
      <c r="K64" s="19">
        <v>1</v>
      </c>
      <c r="L64" s="19">
        <v>0</v>
      </c>
      <c r="M64" s="19">
        <v>0</v>
      </c>
    </row>
    <row r="65" s="17" customFormat="1" spans="1:13">
      <c r="A65" s="19" t="s">
        <v>101</v>
      </c>
      <c r="B65" s="19" t="s">
        <v>37</v>
      </c>
      <c r="C65" s="19" t="s">
        <v>38</v>
      </c>
      <c r="D65" s="19">
        <v>0</v>
      </c>
      <c r="E65" s="19">
        <v>9</v>
      </c>
      <c r="F65" s="19">
        <v>1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</row>
    <row r="66" s="17" customFormat="1" spans="1:13">
      <c r="A66" s="19" t="s">
        <v>102</v>
      </c>
      <c r="B66" s="19" t="s">
        <v>37</v>
      </c>
      <c r="C66" s="19" t="s">
        <v>38</v>
      </c>
      <c r="D66" s="19">
        <v>0</v>
      </c>
      <c r="E66" s="19">
        <v>4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</row>
    <row r="67" s="17" customFormat="1" spans="1:13">
      <c r="A67" s="19" t="s">
        <v>103</v>
      </c>
      <c r="B67" s="19" t="s">
        <v>37</v>
      </c>
      <c r="C67" s="19" t="s">
        <v>38</v>
      </c>
      <c r="D67" s="19">
        <v>41.37</v>
      </c>
      <c r="E67" s="19">
        <v>295</v>
      </c>
      <c r="F67" s="19">
        <v>4</v>
      </c>
      <c r="G67" s="19">
        <v>0</v>
      </c>
      <c r="H67" s="19">
        <v>0</v>
      </c>
      <c r="I67" s="19">
        <v>2</v>
      </c>
      <c r="J67" s="19">
        <v>20.69</v>
      </c>
      <c r="K67" s="19">
        <v>2</v>
      </c>
      <c r="L67" s="19">
        <v>20.69</v>
      </c>
      <c r="M67" s="19">
        <v>0</v>
      </c>
    </row>
    <row r="68" s="17" customFormat="1" spans="1:13">
      <c r="A68" s="19" t="s">
        <v>104</v>
      </c>
      <c r="B68" s="19" t="s">
        <v>37</v>
      </c>
      <c r="C68" s="19" t="s">
        <v>38</v>
      </c>
      <c r="D68" s="19">
        <v>35.67</v>
      </c>
      <c r="E68" s="19">
        <v>312</v>
      </c>
      <c r="F68" s="19">
        <v>5</v>
      </c>
      <c r="G68" s="19">
        <v>0</v>
      </c>
      <c r="H68" s="19">
        <v>0</v>
      </c>
      <c r="I68" s="19">
        <v>1</v>
      </c>
      <c r="J68" s="19">
        <v>35.67</v>
      </c>
      <c r="K68" s="19">
        <v>1</v>
      </c>
      <c r="L68" s="19">
        <v>35.67</v>
      </c>
      <c r="M68" s="19">
        <v>0</v>
      </c>
    </row>
    <row r="69" s="17" customFormat="1" spans="1:13">
      <c r="A69" s="19" t="s">
        <v>105</v>
      </c>
      <c r="B69" s="19" t="s">
        <v>37</v>
      </c>
      <c r="C69" s="19" t="s">
        <v>38</v>
      </c>
      <c r="D69" s="19">
        <v>39.58</v>
      </c>
      <c r="E69" s="19">
        <v>385</v>
      </c>
      <c r="F69" s="19">
        <v>2</v>
      </c>
      <c r="G69" s="19">
        <v>0</v>
      </c>
      <c r="H69" s="19">
        <v>0</v>
      </c>
      <c r="I69" s="19">
        <v>1</v>
      </c>
      <c r="J69" s="19">
        <v>39.58</v>
      </c>
      <c r="K69" s="19">
        <v>1</v>
      </c>
      <c r="L69" s="19">
        <v>39.58</v>
      </c>
      <c r="M69" s="19">
        <v>0</v>
      </c>
    </row>
    <row r="70" s="17" customFormat="1" spans="1:13">
      <c r="A70" s="19" t="s">
        <v>106</v>
      </c>
      <c r="B70" s="19" t="s">
        <v>37</v>
      </c>
      <c r="C70" s="19" t="s">
        <v>38</v>
      </c>
      <c r="D70" s="19">
        <v>36.43</v>
      </c>
      <c r="E70" s="19">
        <v>460</v>
      </c>
      <c r="F70" s="19">
        <v>5</v>
      </c>
      <c r="G70" s="19">
        <v>0</v>
      </c>
      <c r="H70" s="19">
        <v>0</v>
      </c>
      <c r="I70" s="19">
        <v>1</v>
      </c>
      <c r="J70" s="19">
        <v>36.43</v>
      </c>
      <c r="K70" s="19">
        <v>1</v>
      </c>
      <c r="L70" s="19">
        <v>36.43</v>
      </c>
      <c r="M70" s="19">
        <v>0</v>
      </c>
    </row>
    <row r="71" s="17" customFormat="1" spans="1:13">
      <c r="A71" s="19" t="s">
        <v>107</v>
      </c>
      <c r="B71" s="19" t="s">
        <v>37</v>
      </c>
      <c r="C71" s="19" t="s">
        <v>38</v>
      </c>
      <c r="D71" s="19">
        <v>18.27</v>
      </c>
      <c r="E71" s="19">
        <v>211</v>
      </c>
      <c r="F71" s="19">
        <v>6</v>
      </c>
      <c r="G71" s="19">
        <v>0</v>
      </c>
      <c r="H71" s="19">
        <v>0</v>
      </c>
      <c r="I71" s="19">
        <v>2</v>
      </c>
      <c r="J71" s="19">
        <v>9.14</v>
      </c>
      <c r="K71" s="19">
        <v>2</v>
      </c>
      <c r="L71" s="19">
        <v>9.14</v>
      </c>
      <c r="M71" s="19">
        <v>0</v>
      </c>
    </row>
    <row r="72" s="17" customFormat="1" spans="1:13">
      <c r="A72" s="19" t="s">
        <v>108</v>
      </c>
      <c r="B72" s="19" t="s">
        <v>37</v>
      </c>
      <c r="C72" s="19" t="s">
        <v>38</v>
      </c>
      <c r="D72" s="19">
        <v>0</v>
      </c>
      <c r="E72" s="19">
        <v>9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</row>
    <row r="73" s="17" customFormat="1" spans="1:13">
      <c r="A73" s="19" t="s">
        <v>109</v>
      </c>
      <c r="B73" s="19" t="s">
        <v>37</v>
      </c>
      <c r="C73" s="19" t="s">
        <v>38</v>
      </c>
      <c r="D73" s="19">
        <v>0</v>
      </c>
      <c r="E73" s="19">
        <v>4</v>
      </c>
      <c r="F73" s="19">
        <v>0</v>
      </c>
      <c r="G73" s="19">
        <v>0</v>
      </c>
      <c r="H73" s="19">
        <v>0</v>
      </c>
      <c r="I73" s="19">
        <v>2</v>
      </c>
      <c r="J73" s="19">
        <v>0</v>
      </c>
      <c r="K73" s="19">
        <v>2</v>
      </c>
      <c r="L73" s="19">
        <v>0</v>
      </c>
      <c r="M73" s="19">
        <v>0</v>
      </c>
    </row>
    <row r="74" s="17" customFormat="1" spans="1:13">
      <c r="A74" s="19" t="s">
        <v>110</v>
      </c>
      <c r="B74" s="19" t="s">
        <v>37</v>
      </c>
      <c r="C74" s="19" t="s">
        <v>38</v>
      </c>
      <c r="D74" s="19">
        <v>41.23</v>
      </c>
      <c r="E74" s="19">
        <v>217</v>
      </c>
      <c r="F74" s="19">
        <v>1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</row>
    <row r="75" s="17" customFormat="1" spans="1:13">
      <c r="A75" s="19" t="s">
        <v>111</v>
      </c>
      <c r="B75" s="19" t="s">
        <v>37</v>
      </c>
      <c r="C75" s="19" t="s">
        <v>38</v>
      </c>
      <c r="D75" s="19">
        <v>68.71</v>
      </c>
      <c r="E75" s="19">
        <v>497</v>
      </c>
      <c r="F75" s="19">
        <v>5</v>
      </c>
      <c r="G75" s="19">
        <v>1</v>
      </c>
      <c r="H75" s="19">
        <v>68.71</v>
      </c>
      <c r="I75" s="19">
        <v>2</v>
      </c>
      <c r="J75" s="19">
        <v>34.36</v>
      </c>
      <c r="K75" s="19">
        <v>2</v>
      </c>
      <c r="L75" s="19">
        <v>34.36</v>
      </c>
      <c r="M75" s="19">
        <v>48</v>
      </c>
    </row>
    <row r="76" s="17" customFormat="1" spans="1:13">
      <c r="A76" s="19" t="s">
        <v>112</v>
      </c>
      <c r="B76" s="19" t="s">
        <v>37</v>
      </c>
      <c r="C76" s="19" t="s">
        <v>38</v>
      </c>
      <c r="D76" s="19">
        <v>34.71</v>
      </c>
      <c r="E76" s="19">
        <v>287</v>
      </c>
      <c r="F76" s="19">
        <v>6</v>
      </c>
      <c r="G76" s="19">
        <v>0</v>
      </c>
      <c r="H76" s="19">
        <v>0</v>
      </c>
      <c r="I76" s="19">
        <v>2</v>
      </c>
      <c r="J76" s="19">
        <v>17.36</v>
      </c>
      <c r="K76" s="19">
        <v>2</v>
      </c>
      <c r="L76" s="19">
        <v>17.36</v>
      </c>
      <c r="M76" s="19">
        <v>0</v>
      </c>
    </row>
    <row r="77" s="17" customFormat="1" spans="1:13">
      <c r="A77" s="19" t="s">
        <v>113</v>
      </c>
      <c r="B77" s="19" t="s">
        <v>37</v>
      </c>
      <c r="C77" s="19" t="s">
        <v>38</v>
      </c>
      <c r="D77" s="19">
        <v>21.76</v>
      </c>
      <c r="E77" s="19">
        <v>214</v>
      </c>
      <c r="F77" s="19">
        <v>2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</row>
    <row r="78" s="17" customFormat="1" spans="1:13">
      <c r="A78" s="19" t="s">
        <v>114</v>
      </c>
      <c r="B78" s="19" t="s">
        <v>37</v>
      </c>
      <c r="C78" s="19" t="s">
        <v>38</v>
      </c>
      <c r="D78" s="19">
        <v>21.7</v>
      </c>
      <c r="E78" s="19">
        <v>171</v>
      </c>
      <c r="F78" s="19">
        <v>3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</row>
    <row r="79" s="17" customFormat="1" spans="1:13">
      <c r="A79" s="19" t="s">
        <v>115</v>
      </c>
      <c r="B79" s="19" t="s">
        <v>37</v>
      </c>
      <c r="C79" s="19" t="s">
        <v>38</v>
      </c>
      <c r="D79" s="19">
        <v>36.82</v>
      </c>
      <c r="E79" s="19">
        <v>168</v>
      </c>
      <c r="F79" s="19">
        <v>4</v>
      </c>
      <c r="G79" s="19">
        <v>1</v>
      </c>
      <c r="H79" s="19">
        <v>36.82</v>
      </c>
      <c r="I79" s="19">
        <v>2</v>
      </c>
      <c r="J79" s="19">
        <v>18.41</v>
      </c>
      <c r="K79" s="19">
        <v>2</v>
      </c>
      <c r="L79" s="19">
        <v>18.41</v>
      </c>
      <c r="M79" s="19">
        <v>12</v>
      </c>
    </row>
    <row r="80" s="17" customFormat="1" spans="1:13">
      <c r="A80" s="19" t="s">
        <v>116</v>
      </c>
      <c r="B80" s="19" t="s">
        <v>37</v>
      </c>
      <c r="C80" s="19" t="s">
        <v>38</v>
      </c>
      <c r="D80" s="19">
        <v>20.23</v>
      </c>
      <c r="E80" s="19">
        <v>189</v>
      </c>
      <c r="F80" s="19">
        <v>3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</row>
    <row r="81" s="17" customFormat="1" spans="1:13">
      <c r="A81" s="19" t="s">
        <v>117</v>
      </c>
      <c r="B81" s="19" t="s">
        <v>37</v>
      </c>
      <c r="C81" s="19" t="s">
        <v>38</v>
      </c>
      <c r="D81" s="19">
        <v>38.46</v>
      </c>
      <c r="E81" s="19">
        <v>205</v>
      </c>
      <c r="F81" s="19">
        <v>2</v>
      </c>
      <c r="G81" s="19">
        <v>0</v>
      </c>
      <c r="H81" s="19">
        <v>0</v>
      </c>
      <c r="I81" s="19">
        <v>3</v>
      </c>
      <c r="J81" s="19">
        <v>12.82</v>
      </c>
      <c r="K81" s="19">
        <v>3</v>
      </c>
      <c r="L81" s="19">
        <v>12.82</v>
      </c>
      <c r="M81" s="19">
        <v>0</v>
      </c>
    </row>
    <row r="82" s="17" customFormat="1" spans="1:13">
      <c r="A82" s="19" t="s">
        <v>118</v>
      </c>
      <c r="B82" s="19" t="s">
        <v>37</v>
      </c>
      <c r="C82" s="19" t="s">
        <v>38</v>
      </c>
      <c r="D82" s="19">
        <v>57.68</v>
      </c>
      <c r="E82" s="19">
        <v>402</v>
      </c>
      <c r="F82" s="19">
        <v>7</v>
      </c>
      <c r="G82" s="19">
        <v>1</v>
      </c>
      <c r="H82" s="19">
        <v>57.68</v>
      </c>
      <c r="I82" s="19">
        <v>3</v>
      </c>
      <c r="J82" s="19">
        <v>19.23</v>
      </c>
      <c r="K82" s="19">
        <v>3</v>
      </c>
      <c r="L82" s="19">
        <v>19.23</v>
      </c>
      <c r="M82" s="19">
        <v>48</v>
      </c>
    </row>
    <row r="83" s="17" customFormat="1" spans="1:13">
      <c r="A83" s="19" t="s">
        <v>119</v>
      </c>
      <c r="B83" s="19" t="s">
        <v>37</v>
      </c>
      <c r="C83" s="19" t="s">
        <v>38</v>
      </c>
      <c r="D83" s="19">
        <v>113.24</v>
      </c>
      <c r="E83" s="19">
        <v>825</v>
      </c>
      <c r="F83" s="19">
        <v>7</v>
      </c>
      <c r="G83" s="19">
        <v>0</v>
      </c>
      <c r="H83" s="19">
        <v>0</v>
      </c>
      <c r="I83" s="19">
        <v>4</v>
      </c>
      <c r="J83" s="19">
        <v>28.31</v>
      </c>
      <c r="K83" s="19">
        <v>4</v>
      </c>
      <c r="L83" s="19">
        <v>28.31</v>
      </c>
      <c r="M83" s="19">
        <v>30</v>
      </c>
    </row>
    <row r="84" s="17" customFormat="1" spans="1:13">
      <c r="A84" s="19" t="s">
        <v>120</v>
      </c>
      <c r="B84" s="19" t="s">
        <v>37</v>
      </c>
      <c r="C84" s="19" t="s">
        <v>38</v>
      </c>
      <c r="D84" s="19">
        <v>128.35</v>
      </c>
      <c r="E84" s="19">
        <v>1124</v>
      </c>
      <c r="F84" s="19">
        <v>9</v>
      </c>
      <c r="G84" s="19">
        <v>0</v>
      </c>
      <c r="H84" s="19">
        <v>0</v>
      </c>
      <c r="I84" s="19">
        <v>4</v>
      </c>
      <c r="J84" s="19">
        <v>32.09</v>
      </c>
      <c r="K84" s="19">
        <v>5</v>
      </c>
      <c r="L84" s="19">
        <v>25.67</v>
      </c>
      <c r="M84" s="19">
        <v>0</v>
      </c>
    </row>
    <row r="85" s="17" customFormat="1" spans="1:13">
      <c r="A85" s="19" t="s">
        <v>121</v>
      </c>
      <c r="B85" s="19" t="s">
        <v>37</v>
      </c>
      <c r="C85" s="19" t="s">
        <v>38</v>
      </c>
      <c r="D85" s="19">
        <v>139.27</v>
      </c>
      <c r="E85" s="19">
        <v>1234</v>
      </c>
      <c r="F85" s="19">
        <v>17</v>
      </c>
      <c r="G85" s="19">
        <v>0</v>
      </c>
      <c r="H85" s="19">
        <v>0</v>
      </c>
      <c r="I85" s="19">
        <v>3</v>
      </c>
      <c r="J85" s="19">
        <v>46.42</v>
      </c>
      <c r="K85" s="19">
        <v>5</v>
      </c>
      <c r="L85" s="19">
        <v>27.85</v>
      </c>
      <c r="M85" s="19">
        <v>0</v>
      </c>
    </row>
    <row r="86" s="17" customFormat="1" spans="1:13">
      <c r="A86" s="19" t="s">
        <v>122</v>
      </c>
      <c r="B86" s="19" t="s">
        <v>37</v>
      </c>
      <c r="C86" s="19" t="s">
        <v>38</v>
      </c>
      <c r="D86" s="19">
        <v>140.97</v>
      </c>
      <c r="E86" s="19">
        <v>1357</v>
      </c>
      <c r="F86" s="19">
        <v>14</v>
      </c>
      <c r="G86" s="19">
        <v>0</v>
      </c>
      <c r="H86" s="19">
        <v>0</v>
      </c>
      <c r="I86" s="19">
        <v>4</v>
      </c>
      <c r="J86" s="19">
        <v>35.24</v>
      </c>
      <c r="K86" s="19">
        <v>4</v>
      </c>
      <c r="L86" s="19">
        <v>35.24</v>
      </c>
      <c r="M86" s="19">
        <v>0</v>
      </c>
    </row>
    <row r="87" s="17" customFormat="1" spans="1:13">
      <c r="A87" s="19" t="s">
        <v>123</v>
      </c>
      <c r="B87" s="19" t="s">
        <v>37</v>
      </c>
      <c r="C87" s="19" t="s">
        <v>38</v>
      </c>
      <c r="D87" s="19">
        <v>60.29</v>
      </c>
      <c r="E87" s="19">
        <v>645</v>
      </c>
      <c r="F87" s="19">
        <v>7</v>
      </c>
      <c r="G87" s="19">
        <v>0</v>
      </c>
      <c r="H87" s="19">
        <v>0</v>
      </c>
      <c r="I87" s="19">
        <v>3</v>
      </c>
      <c r="J87" s="19">
        <v>20.1</v>
      </c>
      <c r="K87" s="19">
        <v>3</v>
      </c>
      <c r="L87" s="19">
        <v>20.1</v>
      </c>
      <c r="M87" s="19">
        <v>0</v>
      </c>
    </row>
    <row r="88" s="17" customFormat="1" spans="1:13">
      <c r="A88" s="19" t="s">
        <v>124</v>
      </c>
      <c r="B88" s="19" t="s">
        <v>37</v>
      </c>
      <c r="C88" s="19" t="s">
        <v>38</v>
      </c>
      <c r="D88" s="19">
        <v>43.97</v>
      </c>
      <c r="E88" s="19">
        <v>438</v>
      </c>
      <c r="F88" s="19">
        <v>8</v>
      </c>
      <c r="G88" s="19">
        <v>1</v>
      </c>
      <c r="H88" s="19">
        <v>43.97</v>
      </c>
      <c r="I88" s="19">
        <v>5</v>
      </c>
      <c r="J88" s="19">
        <v>8.79</v>
      </c>
      <c r="K88" s="19">
        <v>5</v>
      </c>
      <c r="L88" s="19">
        <v>8.79</v>
      </c>
      <c r="M88" s="19">
        <v>15.9</v>
      </c>
    </row>
    <row r="89" s="17" customFormat="1" spans="1:13">
      <c r="A89" s="19" t="s">
        <v>125</v>
      </c>
      <c r="B89" s="19" t="s">
        <v>37</v>
      </c>
      <c r="C89" s="19" t="s">
        <v>38</v>
      </c>
      <c r="D89" s="19">
        <v>49.71</v>
      </c>
      <c r="E89" s="19">
        <v>462</v>
      </c>
      <c r="F89" s="19">
        <v>7</v>
      </c>
      <c r="G89" s="19">
        <v>0</v>
      </c>
      <c r="H89" s="19">
        <v>0</v>
      </c>
      <c r="I89" s="19">
        <v>4</v>
      </c>
      <c r="J89" s="19">
        <v>12.43</v>
      </c>
      <c r="K89" s="19">
        <v>4</v>
      </c>
      <c r="L89" s="19">
        <v>12.43</v>
      </c>
      <c r="M89" s="19">
        <v>0</v>
      </c>
    </row>
    <row r="90" s="17" customFormat="1" spans="1:13">
      <c r="A90" s="19" t="s">
        <v>126</v>
      </c>
      <c r="B90" s="19" t="s">
        <v>37</v>
      </c>
      <c r="C90" s="19" t="s">
        <v>38</v>
      </c>
      <c r="D90" s="19">
        <v>43.33</v>
      </c>
      <c r="E90" s="19">
        <v>336</v>
      </c>
      <c r="F90" s="19">
        <v>4</v>
      </c>
      <c r="G90" s="19">
        <v>0</v>
      </c>
      <c r="H90" s="19">
        <v>0</v>
      </c>
      <c r="I90" s="19">
        <v>2</v>
      </c>
      <c r="J90" s="19">
        <v>21.67</v>
      </c>
      <c r="K90" s="19">
        <v>2</v>
      </c>
      <c r="L90" s="19">
        <v>21.67</v>
      </c>
      <c r="M90" s="19">
        <v>0</v>
      </c>
    </row>
    <row r="91" s="17" customFormat="1" spans="1:13">
      <c r="A91" s="19" t="s">
        <v>127</v>
      </c>
      <c r="B91" s="19" t="s">
        <v>37</v>
      </c>
      <c r="C91" s="19" t="s">
        <v>38</v>
      </c>
      <c r="D91" s="19">
        <v>81.85</v>
      </c>
      <c r="E91" s="19">
        <v>774</v>
      </c>
      <c r="F91" s="19">
        <v>7</v>
      </c>
      <c r="G91" s="19">
        <v>0</v>
      </c>
      <c r="H91" s="19">
        <v>0</v>
      </c>
      <c r="I91" s="19">
        <v>2</v>
      </c>
      <c r="J91" s="19">
        <v>40.93</v>
      </c>
      <c r="K91" s="19">
        <v>3</v>
      </c>
      <c r="L91" s="19">
        <v>27.28</v>
      </c>
      <c r="M91" s="19">
        <v>0</v>
      </c>
    </row>
    <row r="92" s="17" customFormat="1" spans="1:13">
      <c r="A92" s="19" t="s">
        <v>128</v>
      </c>
      <c r="B92" s="19" t="s">
        <v>37</v>
      </c>
      <c r="C92" s="19" t="s">
        <v>38</v>
      </c>
      <c r="D92" s="19">
        <v>84.01</v>
      </c>
      <c r="E92" s="19">
        <v>775</v>
      </c>
      <c r="F92" s="19">
        <v>16</v>
      </c>
      <c r="G92" s="19">
        <v>0</v>
      </c>
      <c r="H92" s="19">
        <v>0</v>
      </c>
      <c r="I92" s="19">
        <v>7</v>
      </c>
      <c r="J92" s="19">
        <v>12</v>
      </c>
      <c r="K92" s="19">
        <v>7</v>
      </c>
      <c r="L92" s="19">
        <v>12</v>
      </c>
      <c r="M92" s="19">
        <v>0</v>
      </c>
    </row>
    <row r="93" s="17" customFormat="1" spans="1:13">
      <c r="A93" s="19" t="s">
        <v>129</v>
      </c>
      <c r="B93" s="19" t="s">
        <v>37</v>
      </c>
      <c r="C93" s="19" t="s">
        <v>38</v>
      </c>
      <c r="D93" s="19">
        <v>91.04</v>
      </c>
      <c r="E93" s="19">
        <v>778</v>
      </c>
      <c r="F93" s="19">
        <v>11</v>
      </c>
      <c r="G93" s="19">
        <v>0</v>
      </c>
      <c r="H93" s="19">
        <v>0</v>
      </c>
      <c r="I93" s="19">
        <v>5</v>
      </c>
      <c r="J93" s="19">
        <v>18.21</v>
      </c>
      <c r="K93" s="19">
        <v>5</v>
      </c>
      <c r="L93" s="19">
        <v>18.21</v>
      </c>
      <c r="M93" s="19">
        <v>0</v>
      </c>
    </row>
    <row r="94" s="17" customFormat="1" spans="1:13">
      <c r="A94" s="19" t="s">
        <v>130</v>
      </c>
      <c r="B94" s="19" t="s">
        <v>37</v>
      </c>
      <c r="C94" s="19" t="s">
        <v>38</v>
      </c>
      <c r="D94" s="19">
        <v>55.97</v>
      </c>
      <c r="E94" s="19">
        <v>573</v>
      </c>
      <c r="F94" s="19">
        <v>9</v>
      </c>
      <c r="G94" s="19">
        <v>0</v>
      </c>
      <c r="H94" s="19">
        <v>0</v>
      </c>
      <c r="I94" s="19">
        <v>2</v>
      </c>
      <c r="J94" s="19">
        <v>27.99</v>
      </c>
      <c r="K94" s="19">
        <v>2</v>
      </c>
      <c r="L94" s="19">
        <v>27.99</v>
      </c>
      <c r="M94" s="19">
        <v>0</v>
      </c>
    </row>
    <row r="95" s="17" customFormat="1" spans="1:13">
      <c r="A95" s="19" t="s">
        <v>131</v>
      </c>
      <c r="B95" s="19" t="s">
        <v>37</v>
      </c>
      <c r="C95" s="19" t="s">
        <v>38</v>
      </c>
      <c r="D95" s="19">
        <v>85.56</v>
      </c>
      <c r="E95" s="19">
        <v>906</v>
      </c>
      <c r="F95" s="19">
        <v>19</v>
      </c>
      <c r="G95" s="19">
        <v>0</v>
      </c>
      <c r="H95" s="19">
        <v>0</v>
      </c>
      <c r="I95" s="19">
        <v>1</v>
      </c>
      <c r="J95" s="19">
        <v>85.56</v>
      </c>
      <c r="K95" s="19">
        <v>1</v>
      </c>
      <c r="L95" s="19">
        <v>85.56</v>
      </c>
      <c r="M95" s="19">
        <v>0</v>
      </c>
    </row>
    <row r="96" s="17" customFormat="1" spans="1:13">
      <c r="A96" s="19" t="s">
        <v>132</v>
      </c>
      <c r="B96" s="19" t="s">
        <v>37</v>
      </c>
      <c r="C96" s="19" t="s">
        <v>38</v>
      </c>
      <c r="D96" s="19">
        <v>46.4</v>
      </c>
      <c r="E96" s="19">
        <v>583</v>
      </c>
      <c r="F96" s="19">
        <v>4</v>
      </c>
      <c r="G96" s="19">
        <v>0</v>
      </c>
      <c r="H96" s="19">
        <v>0</v>
      </c>
      <c r="I96" s="19">
        <v>1</v>
      </c>
      <c r="J96" s="19">
        <v>46.4</v>
      </c>
      <c r="K96" s="19">
        <v>1</v>
      </c>
      <c r="L96" s="19">
        <v>46.4</v>
      </c>
      <c r="M96" s="19">
        <v>0</v>
      </c>
    </row>
    <row r="97" s="17" customFormat="1" spans="1:13">
      <c r="A97" s="19" t="s">
        <v>133</v>
      </c>
      <c r="B97" s="19" t="s">
        <v>37</v>
      </c>
      <c r="C97" s="19" t="s">
        <v>38</v>
      </c>
      <c r="D97" s="19">
        <v>35.08</v>
      </c>
      <c r="E97" s="19">
        <v>393</v>
      </c>
      <c r="F97" s="19">
        <v>1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</row>
    <row r="98" s="17" customFormat="1" spans="1:13">
      <c r="A98" s="19" t="s">
        <v>134</v>
      </c>
      <c r="B98" s="19" t="s">
        <v>37</v>
      </c>
      <c r="C98" s="19" t="s">
        <v>38</v>
      </c>
      <c r="D98" s="19">
        <v>53.35</v>
      </c>
      <c r="E98" s="19">
        <v>521</v>
      </c>
      <c r="F98" s="19">
        <v>3</v>
      </c>
      <c r="G98" s="19">
        <v>0</v>
      </c>
      <c r="H98" s="19">
        <v>0</v>
      </c>
      <c r="I98" s="19">
        <v>2</v>
      </c>
      <c r="J98" s="19">
        <v>26.68</v>
      </c>
      <c r="K98" s="19">
        <v>2</v>
      </c>
      <c r="L98" s="19">
        <v>26.68</v>
      </c>
      <c r="M98" s="19">
        <v>0</v>
      </c>
    </row>
    <row r="99" s="17" customFormat="1" spans="1:13">
      <c r="A99" s="19" t="s">
        <v>135</v>
      </c>
      <c r="B99" s="19" t="s">
        <v>37</v>
      </c>
      <c r="C99" s="19" t="s">
        <v>38</v>
      </c>
      <c r="D99" s="19">
        <v>70.1</v>
      </c>
      <c r="E99" s="19">
        <v>731</v>
      </c>
      <c r="F99" s="19">
        <v>10</v>
      </c>
      <c r="G99" s="19">
        <v>0</v>
      </c>
      <c r="H99" s="19">
        <v>0</v>
      </c>
      <c r="I99" s="19">
        <v>7</v>
      </c>
      <c r="J99" s="19">
        <v>10.01</v>
      </c>
      <c r="K99" s="19">
        <v>7</v>
      </c>
      <c r="L99" s="19">
        <v>10.01</v>
      </c>
      <c r="M99" s="19">
        <v>0</v>
      </c>
    </row>
    <row r="100" s="17" customFormat="1" spans="1:13">
      <c r="A100" s="19" t="s">
        <v>136</v>
      </c>
      <c r="B100" s="19" t="s">
        <v>37</v>
      </c>
      <c r="C100" s="19" t="s">
        <v>38</v>
      </c>
      <c r="D100" s="19">
        <v>37.63</v>
      </c>
      <c r="E100" s="19">
        <v>327</v>
      </c>
      <c r="F100" s="19">
        <v>6</v>
      </c>
      <c r="G100" s="19">
        <v>0</v>
      </c>
      <c r="H100" s="19">
        <v>0</v>
      </c>
      <c r="I100" s="19">
        <v>1</v>
      </c>
      <c r="J100" s="19">
        <v>37.63</v>
      </c>
      <c r="K100" s="19">
        <v>1</v>
      </c>
      <c r="L100" s="19">
        <v>37.63</v>
      </c>
      <c r="M100" s="19">
        <v>0</v>
      </c>
    </row>
    <row r="101" s="17" customFormat="1" spans="1:13">
      <c r="A101" s="19" t="s">
        <v>137</v>
      </c>
      <c r="B101" s="19" t="s">
        <v>37</v>
      </c>
      <c r="C101" s="19" t="s">
        <v>38</v>
      </c>
      <c r="D101" s="19">
        <v>27.39</v>
      </c>
      <c r="E101" s="19">
        <v>195</v>
      </c>
      <c r="F101" s="19">
        <v>2</v>
      </c>
      <c r="G101" s="19">
        <v>0</v>
      </c>
      <c r="H101" s="19">
        <v>0</v>
      </c>
      <c r="I101" s="19">
        <v>1</v>
      </c>
      <c r="J101" s="19">
        <v>27.39</v>
      </c>
      <c r="K101" s="19">
        <v>1</v>
      </c>
      <c r="L101" s="19">
        <v>27.39</v>
      </c>
      <c r="M101" s="19">
        <v>0</v>
      </c>
    </row>
    <row r="102" s="17" customFormat="1" spans="1:13">
      <c r="A102" s="19" t="s">
        <v>138</v>
      </c>
      <c r="B102" s="19" t="s">
        <v>37</v>
      </c>
      <c r="C102" s="19" t="s">
        <v>38</v>
      </c>
      <c r="D102" s="19">
        <v>18.88</v>
      </c>
      <c r="E102" s="19">
        <v>171</v>
      </c>
      <c r="F102" s="19">
        <v>1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</row>
    <row r="103" s="17" customFormat="1" spans="1:13">
      <c r="A103" s="19" t="s">
        <v>139</v>
      </c>
      <c r="B103" s="19" t="s">
        <v>37</v>
      </c>
      <c r="C103" s="19" t="s">
        <v>38</v>
      </c>
      <c r="D103" s="19">
        <v>16.44</v>
      </c>
      <c r="E103" s="19">
        <v>181</v>
      </c>
      <c r="F103" s="19">
        <v>4</v>
      </c>
      <c r="G103" s="19">
        <v>0</v>
      </c>
      <c r="H103" s="19">
        <v>0</v>
      </c>
      <c r="I103" s="19">
        <v>1</v>
      </c>
      <c r="J103" s="19">
        <v>16.44</v>
      </c>
      <c r="K103" s="19">
        <v>1</v>
      </c>
      <c r="L103" s="19">
        <v>16.44</v>
      </c>
      <c r="M103" s="19">
        <v>0</v>
      </c>
    </row>
    <row r="104" s="17" customFormat="1" spans="1:13">
      <c r="A104" s="19" t="s">
        <v>140</v>
      </c>
      <c r="B104" s="19" t="s">
        <v>37</v>
      </c>
      <c r="C104" s="19" t="s">
        <v>38</v>
      </c>
      <c r="D104" s="19">
        <v>21.48</v>
      </c>
      <c r="E104" s="19">
        <v>254</v>
      </c>
      <c r="F104" s="19">
        <v>2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</row>
    <row r="105" s="17" customFormat="1" spans="1:13">
      <c r="A105" s="19" t="s">
        <v>141</v>
      </c>
      <c r="B105" s="19" t="s">
        <v>37</v>
      </c>
      <c r="C105" s="19" t="s">
        <v>38</v>
      </c>
      <c r="D105" s="19">
        <v>27.51</v>
      </c>
      <c r="E105" s="19">
        <v>301</v>
      </c>
      <c r="F105" s="19">
        <v>3</v>
      </c>
      <c r="G105" s="19">
        <v>0</v>
      </c>
      <c r="H105" s="19">
        <v>0</v>
      </c>
      <c r="I105" s="19">
        <v>0</v>
      </c>
      <c r="J105" s="19">
        <v>0</v>
      </c>
      <c r="K105" s="19">
        <v>1</v>
      </c>
      <c r="L105" s="19">
        <v>27.51</v>
      </c>
      <c r="M105" s="19">
        <v>0</v>
      </c>
    </row>
    <row r="106" s="17" customFormat="1" spans="1:13">
      <c r="A106" s="19" t="s">
        <v>142</v>
      </c>
      <c r="B106" s="19" t="s">
        <v>37</v>
      </c>
      <c r="C106" s="19" t="s">
        <v>38</v>
      </c>
      <c r="D106" s="19">
        <v>37.89</v>
      </c>
      <c r="E106" s="19">
        <v>328</v>
      </c>
      <c r="F106" s="19">
        <v>2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</row>
    <row r="107" s="17" customFormat="1" spans="1:13">
      <c r="A107" s="19" t="s">
        <v>143</v>
      </c>
      <c r="B107" s="19" t="s">
        <v>37</v>
      </c>
      <c r="C107" s="19" t="s">
        <v>38</v>
      </c>
      <c r="D107" s="19">
        <v>49.75</v>
      </c>
      <c r="E107" s="19">
        <v>447</v>
      </c>
      <c r="F107" s="19">
        <v>3</v>
      </c>
      <c r="G107" s="19">
        <v>0</v>
      </c>
      <c r="H107" s="19">
        <v>0</v>
      </c>
      <c r="I107" s="19">
        <v>2</v>
      </c>
      <c r="J107" s="19">
        <v>24.88</v>
      </c>
      <c r="K107" s="19">
        <v>2</v>
      </c>
      <c r="L107" s="19">
        <v>24.88</v>
      </c>
      <c r="M107" s="19">
        <v>0</v>
      </c>
    </row>
    <row r="108" s="17" customFormat="1" spans="1:13">
      <c r="A108" s="19" t="s">
        <v>144</v>
      </c>
      <c r="B108" s="19" t="s">
        <v>37</v>
      </c>
      <c r="C108" s="19" t="s">
        <v>38</v>
      </c>
      <c r="D108" s="19">
        <v>64.07</v>
      </c>
      <c r="E108" s="19">
        <v>594</v>
      </c>
      <c r="F108" s="19">
        <v>3</v>
      </c>
      <c r="G108" s="19">
        <v>1</v>
      </c>
      <c r="H108" s="19">
        <v>64.07</v>
      </c>
      <c r="I108" s="19">
        <v>3</v>
      </c>
      <c r="J108" s="19">
        <v>21.36</v>
      </c>
      <c r="K108" s="19">
        <v>3</v>
      </c>
      <c r="L108" s="19">
        <v>21.36</v>
      </c>
      <c r="M108" s="19">
        <v>216</v>
      </c>
    </row>
    <row r="109" s="17" customFormat="1" spans="1:13">
      <c r="A109" s="19" t="s">
        <v>145</v>
      </c>
      <c r="B109" s="19" t="s">
        <v>37</v>
      </c>
      <c r="C109" s="19" t="s">
        <v>38</v>
      </c>
      <c r="D109" s="19">
        <v>78.93</v>
      </c>
      <c r="E109" s="19">
        <v>693</v>
      </c>
      <c r="F109" s="19">
        <v>3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30</v>
      </c>
    </row>
    <row r="110" s="17" customFormat="1" spans="1:13">
      <c r="A110" s="19" t="s">
        <v>146</v>
      </c>
      <c r="B110" s="19" t="s">
        <v>37</v>
      </c>
      <c r="C110" s="19" t="s">
        <v>38</v>
      </c>
      <c r="D110" s="19">
        <v>74.94</v>
      </c>
      <c r="E110" s="19">
        <v>745</v>
      </c>
      <c r="F110" s="19">
        <v>9</v>
      </c>
      <c r="G110" s="19">
        <v>0</v>
      </c>
      <c r="H110" s="19">
        <v>0</v>
      </c>
      <c r="I110" s="19">
        <v>1</v>
      </c>
      <c r="J110" s="19">
        <v>74.94</v>
      </c>
      <c r="K110" s="19">
        <v>2</v>
      </c>
      <c r="L110" s="19">
        <v>37.47</v>
      </c>
      <c r="M110" s="19">
        <v>0</v>
      </c>
    </row>
    <row r="111" s="17" customFormat="1" spans="1:13">
      <c r="A111" s="19" t="s">
        <v>147</v>
      </c>
      <c r="B111" s="19" t="s">
        <v>37</v>
      </c>
      <c r="C111" s="19" t="s">
        <v>38</v>
      </c>
      <c r="D111" s="19">
        <v>0.46</v>
      </c>
      <c r="E111" s="19">
        <v>73</v>
      </c>
      <c r="F111" s="19">
        <v>1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</row>
    <row r="112" s="17" customFormat="1" spans="1:13">
      <c r="A112" s="19" t="s">
        <v>148</v>
      </c>
      <c r="B112" s="19" t="s">
        <v>37</v>
      </c>
      <c r="C112" s="19" t="s">
        <v>38</v>
      </c>
      <c r="D112" s="19">
        <v>0</v>
      </c>
      <c r="E112" s="19">
        <v>12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</row>
    <row r="113" s="17" customFormat="1" spans="1:13">
      <c r="A113" s="19" t="s">
        <v>149</v>
      </c>
      <c r="B113" s="19" t="s">
        <v>37</v>
      </c>
      <c r="C113" s="19" t="s">
        <v>38</v>
      </c>
      <c r="D113" s="19">
        <v>0</v>
      </c>
      <c r="E113" s="19">
        <v>6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</row>
    <row r="114" s="17" customFormat="1" spans="1:13">
      <c r="A114" s="19" t="s">
        <v>150</v>
      </c>
      <c r="B114" s="19" t="s">
        <v>37</v>
      </c>
      <c r="C114" s="19" t="s">
        <v>38</v>
      </c>
      <c r="D114" s="19">
        <v>0</v>
      </c>
      <c r="E114" s="19">
        <v>3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</row>
    <row r="115" s="17" customFormat="1" spans="1:13">
      <c r="A115" s="19" t="s">
        <v>151</v>
      </c>
      <c r="B115" s="19" t="s">
        <v>37</v>
      </c>
      <c r="C115" s="19" t="s">
        <v>38</v>
      </c>
      <c r="D115" s="19">
        <v>74.13</v>
      </c>
      <c r="E115" s="19">
        <v>575</v>
      </c>
      <c r="F115" s="19">
        <v>4</v>
      </c>
      <c r="G115" s="19">
        <v>0</v>
      </c>
      <c r="H115" s="19">
        <v>0</v>
      </c>
      <c r="I115" s="19">
        <v>1</v>
      </c>
      <c r="J115" s="19">
        <v>74.13</v>
      </c>
      <c r="K115" s="19">
        <v>1</v>
      </c>
      <c r="L115" s="19">
        <v>74.13</v>
      </c>
      <c r="M115" s="19">
        <v>0</v>
      </c>
    </row>
    <row r="116" s="17" customFormat="1" spans="1:13">
      <c r="A116" s="19" t="s">
        <v>152</v>
      </c>
      <c r="B116" s="19" t="s">
        <v>37</v>
      </c>
      <c r="C116" s="19" t="s">
        <v>38</v>
      </c>
      <c r="D116" s="19">
        <v>101.04</v>
      </c>
      <c r="E116" s="19">
        <v>1088</v>
      </c>
      <c r="F116" s="19">
        <v>17</v>
      </c>
      <c r="G116" s="19">
        <v>0</v>
      </c>
      <c r="H116" s="19">
        <v>0</v>
      </c>
      <c r="I116" s="19">
        <v>2</v>
      </c>
      <c r="J116" s="19">
        <v>50.52</v>
      </c>
      <c r="K116" s="19">
        <v>3</v>
      </c>
      <c r="L116" s="19">
        <v>33.68</v>
      </c>
      <c r="M116" s="19">
        <v>99.9</v>
      </c>
    </row>
    <row r="117" s="17" customFormat="1" spans="1:13">
      <c r="A117" s="19" t="s">
        <v>153</v>
      </c>
      <c r="B117" s="19" t="s">
        <v>37</v>
      </c>
      <c r="C117" s="19" t="s">
        <v>38</v>
      </c>
      <c r="D117" s="19">
        <v>92.8</v>
      </c>
      <c r="E117" s="19">
        <v>1059</v>
      </c>
      <c r="F117" s="19">
        <v>7</v>
      </c>
      <c r="G117" s="19">
        <v>0</v>
      </c>
      <c r="H117" s="19">
        <v>0</v>
      </c>
      <c r="I117" s="19">
        <v>2</v>
      </c>
      <c r="J117" s="19">
        <v>46.4</v>
      </c>
      <c r="K117" s="19">
        <v>3</v>
      </c>
      <c r="L117" s="19">
        <v>30.93</v>
      </c>
      <c r="M117" s="19">
        <v>0</v>
      </c>
    </row>
    <row r="118" s="17" customFormat="1" spans="1:13">
      <c r="A118" s="19" t="s">
        <v>154</v>
      </c>
      <c r="B118" s="19" t="s">
        <v>37</v>
      </c>
      <c r="C118" s="19" t="s">
        <v>38</v>
      </c>
      <c r="D118" s="19">
        <v>97.95</v>
      </c>
      <c r="E118" s="19">
        <v>938</v>
      </c>
      <c r="F118" s="19">
        <v>11</v>
      </c>
      <c r="G118" s="19">
        <v>0</v>
      </c>
      <c r="H118" s="19">
        <v>0</v>
      </c>
      <c r="I118" s="19">
        <v>1</v>
      </c>
      <c r="J118" s="19">
        <v>97.95</v>
      </c>
      <c r="K118" s="19">
        <v>1</v>
      </c>
      <c r="L118" s="19">
        <v>97.95</v>
      </c>
      <c r="M118" s="19">
        <v>29.9</v>
      </c>
    </row>
    <row r="119" s="17" customFormat="1" spans="1:13">
      <c r="A119" s="19" t="s">
        <v>155</v>
      </c>
      <c r="B119" s="19" t="s">
        <v>37</v>
      </c>
      <c r="C119" s="19" t="s">
        <v>38</v>
      </c>
      <c r="D119" s="19">
        <v>55.26</v>
      </c>
      <c r="E119" s="19">
        <v>667</v>
      </c>
      <c r="F119" s="19">
        <v>7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30</v>
      </c>
    </row>
    <row r="120" s="17" customFormat="1" spans="1:13">
      <c r="A120" s="19" t="s">
        <v>156</v>
      </c>
      <c r="B120" s="19" t="s">
        <v>37</v>
      </c>
      <c r="C120" s="19" t="s">
        <v>38</v>
      </c>
      <c r="D120" s="19">
        <v>0</v>
      </c>
      <c r="E120" s="19">
        <v>24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</row>
    <row r="121" s="17" customFormat="1" spans="1:13">
      <c r="A121" s="19" t="s">
        <v>157</v>
      </c>
      <c r="B121" s="19" t="s">
        <v>37</v>
      </c>
      <c r="C121" s="19" t="s">
        <v>38</v>
      </c>
      <c r="D121" s="19">
        <v>0</v>
      </c>
      <c r="E121" s="19">
        <v>7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</row>
    <row r="122" s="17" customFormat="1" spans="1:13">
      <c r="A122" s="19" t="s">
        <v>158</v>
      </c>
      <c r="B122" s="19" t="s">
        <v>37</v>
      </c>
      <c r="C122" s="19" t="s">
        <v>38</v>
      </c>
      <c r="D122" s="19">
        <v>7.56</v>
      </c>
      <c r="E122" s="19">
        <v>104</v>
      </c>
      <c r="F122" s="19">
        <v>1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</row>
    <row r="123" s="17" customFormat="1" spans="1:13">
      <c r="A123" s="19" t="s">
        <v>159</v>
      </c>
      <c r="B123" s="19" t="s">
        <v>37</v>
      </c>
      <c r="C123" s="19" t="s">
        <v>38</v>
      </c>
      <c r="D123" s="19">
        <v>43.19</v>
      </c>
      <c r="E123" s="19">
        <v>480</v>
      </c>
      <c r="F123" s="19">
        <v>3</v>
      </c>
      <c r="G123" s="19">
        <v>0</v>
      </c>
      <c r="H123" s="19">
        <v>0</v>
      </c>
      <c r="I123" s="19">
        <v>1</v>
      </c>
      <c r="J123" s="19">
        <v>43.19</v>
      </c>
      <c r="K123" s="19">
        <v>1</v>
      </c>
      <c r="L123" s="19">
        <v>43.19</v>
      </c>
      <c r="M123" s="19">
        <v>0</v>
      </c>
    </row>
    <row r="124" s="17" customFormat="1" spans="1:13">
      <c r="A124" s="19" t="s">
        <v>160</v>
      </c>
      <c r="B124" s="19" t="s">
        <v>37</v>
      </c>
      <c r="C124" s="19" t="s">
        <v>38</v>
      </c>
      <c r="D124" s="19">
        <v>19.4</v>
      </c>
      <c r="E124" s="19">
        <v>251</v>
      </c>
      <c r="F124" s="19">
        <v>2</v>
      </c>
      <c r="G124" s="19">
        <v>0</v>
      </c>
      <c r="H124" s="19">
        <v>0</v>
      </c>
      <c r="I124" s="19">
        <v>2</v>
      </c>
      <c r="J124" s="19">
        <v>9.7</v>
      </c>
      <c r="K124" s="19">
        <v>2</v>
      </c>
      <c r="L124" s="19">
        <v>9.7</v>
      </c>
      <c r="M124" s="19">
        <v>0</v>
      </c>
    </row>
    <row r="125" s="17" customFormat="1" spans="1:13">
      <c r="A125" s="19" t="s">
        <v>161</v>
      </c>
      <c r="B125" s="19" t="s">
        <v>37</v>
      </c>
      <c r="C125" s="19" t="s">
        <v>38</v>
      </c>
      <c r="D125" s="19">
        <v>22.02</v>
      </c>
      <c r="E125" s="19">
        <v>208</v>
      </c>
      <c r="F125" s="19">
        <v>1</v>
      </c>
      <c r="G125" s="19">
        <v>1</v>
      </c>
      <c r="H125" s="19">
        <v>22.02</v>
      </c>
      <c r="I125" s="19">
        <v>1</v>
      </c>
      <c r="J125" s="19">
        <v>22.02</v>
      </c>
      <c r="K125" s="19">
        <v>1</v>
      </c>
      <c r="L125" s="19">
        <v>22.02</v>
      </c>
      <c r="M125" s="19">
        <v>6</v>
      </c>
    </row>
    <row r="126" s="17" customFormat="1" spans="1:13">
      <c r="A126" s="19" t="s">
        <v>162</v>
      </c>
      <c r="B126" s="19" t="s">
        <v>37</v>
      </c>
      <c r="C126" s="19" t="s">
        <v>38</v>
      </c>
      <c r="D126" s="19">
        <v>15.47</v>
      </c>
      <c r="E126" s="19">
        <v>166</v>
      </c>
      <c r="F126" s="19">
        <v>5</v>
      </c>
      <c r="G126" s="19">
        <v>0</v>
      </c>
      <c r="H126" s="19">
        <v>0</v>
      </c>
      <c r="I126" s="19">
        <v>2</v>
      </c>
      <c r="J126" s="19">
        <v>7.74</v>
      </c>
      <c r="K126" s="19">
        <v>2</v>
      </c>
      <c r="L126" s="19">
        <v>7.74</v>
      </c>
      <c r="M126" s="19">
        <v>0</v>
      </c>
    </row>
    <row r="127" s="17" customFormat="1" spans="1:13">
      <c r="A127" s="19" t="s">
        <v>163</v>
      </c>
      <c r="B127" s="19" t="s">
        <v>37</v>
      </c>
      <c r="C127" s="19" t="s">
        <v>38</v>
      </c>
      <c r="D127" s="19">
        <v>20.93</v>
      </c>
      <c r="E127" s="19">
        <v>211</v>
      </c>
      <c r="F127" s="19">
        <v>1</v>
      </c>
      <c r="G127" s="19">
        <v>1</v>
      </c>
      <c r="H127" s="19">
        <v>20.93</v>
      </c>
      <c r="I127" s="19">
        <v>1</v>
      </c>
      <c r="J127" s="19">
        <v>20.93</v>
      </c>
      <c r="K127" s="19">
        <v>1</v>
      </c>
      <c r="L127" s="19">
        <v>20.93</v>
      </c>
      <c r="M127" s="19">
        <v>12</v>
      </c>
    </row>
    <row r="128" s="17" customFormat="1" spans="1:13">
      <c r="A128" s="19" t="s">
        <v>164</v>
      </c>
      <c r="B128" s="19" t="s">
        <v>37</v>
      </c>
      <c r="C128" s="19" t="s">
        <v>38</v>
      </c>
      <c r="D128" s="19">
        <v>22.78</v>
      </c>
      <c r="E128" s="19">
        <v>217</v>
      </c>
      <c r="F128" s="19">
        <v>2</v>
      </c>
      <c r="G128" s="19">
        <v>0</v>
      </c>
      <c r="H128" s="19">
        <v>0</v>
      </c>
      <c r="I128" s="19">
        <v>1</v>
      </c>
      <c r="J128" s="19">
        <v>22.78</v>
      </c>
      <c r="K128" s="19">
        <v>1</v>
      </c>
      <c r="L128" s="19">
        <v>22.78</v>
      </c>
      <c r="M128" s="19">
        <v>0</v>
      </c>
    </row>
    <row r="129" s="17" customFormat="1" spans="1:13">
      <c r="A129" s="19" t="s">
        <v>165</v>
      </c>
      <c r="B129" s="19" t="s">
        <v>37</v>
      </c>
      <c r="C129" s="19" t="s">
        <v>38</v>
      </c>
      <c r="D129" s="19">
        <v>31.09</v>
      </c>
      <c r="E129" s="19">
        <v>301</v>
      </c>
      <c r="F129" s="19">
        <v>1</v>
      </c>
      <c r="G129" s="19">
        <v>0</v>
      </c>
      <c r="H129" s="19">
        <v>0</v>
      </c>
      <c r="I129" s="19">
        <v>1</v>
      </c>
      <c r="J129" s="19">
        <v>31.09</v>
      </c>
      <c r="K129" s="19">
        <v>1</v>
      </c>
      <c r="L129" s="19">
        <v>31.09</v>
      </c>
      <c r="M129" s="19">
        <v>0</v>
      </c>
    </row>
    <row r="130" s="17" customFormat="1" spans="1:13">
      <c r="A130" s="19" t="s">
        <v>166</v>
      </c>
      <c r="B130" s="19" t="s">
        <v>37</v>
      </c>
      <c r="C130" s="19" t="s">
        <v>38</v>
      </c>
      <c r="D130" s="19">
        <v>50.35</v>
      </c>
      <c r="E130" s="19">
        <v>502</v>
      </c>
      <c r="F130" s="19">
        <v>4</v>
      </c>
      <c r="G130" s="19">
        <v>0</v>
      </c>
      <c r="H130" s="19">
        <v>0</v>
      </c>
      <c r="I130" s="19">
        <v>3</v>
      </c>
      <c r="J130" s="19">
        <v>16.78</v>
      </c>
      <c r="K130" s="19">
        <v>2</v>
      </c>
      <c r="L130" s="19">
        <v>25.18</v>
      </c>
      <c r="M130" s="19">
        <v>0</v>
      </c>
    </row>
    <row r="131" s="17" customFormat="1" spans="1:13">
      <c r="A131" s="19" t="s">
        <v>167</v>
      </c>
      <c r="B131" s="19" t="s">
        <v>37</v>
      </c>
      <c r="C131" s="19" t="s">
        <v>38</v>
      </c>
      <c r="D131" s="19">
        <v>69.34</v>
      </c>
      <c r="E131" s="19">
        <v>617</v>
      </c>
      <c r="F131" s="19">
        <v>8</v>
      </c>
      <c r="G131" s="19">
        <v>0</v>
      </c>
      <c r="H131" s="19">
        <v>0</v>
      </c>
      <c r="I131" s="19">
        <v>1</v>
      </c>
      <c r="J131" s="19">
        <v>69.34</v>
      </c>
      <c r="K131" s="19">
        <v>1</v>
      </c>
      <c r="L131" s="19">
        <v>69.34</v>
      </c>
      <c r="M131" s="19">
        <v>0</v>
      </c>
    </row>
    <row r="132" s="17" customFormat="1" spans="1:13">
      <c r="A132" s="19" t="s">
        <v>168</v>
      </c>
      <c r="B132" s="19" t="s">
        <v>37</v>
      </c>
      <c r="C132" s="19" t="s">
        <v>38</v>
      </c>
      <c r="D132" s="19">
        <v>65.02</v>
      </c>
      <c r="E132" s="19">
        <v>584</v>
      </c>
      <c r="F132" s="19">
        <v>9</v>
      </c>
      <c r="G132" s="19">
        <v>0</v>
      </c>
      <c r="H132" s="19">
        <v>0</v>
      </c>
      <c r="I132" s="19">
        <v>2</v>
      </c>
      <c r="J132" s="19">
        <v>32.51</v>
      </c>
      <c r="K132" s="19">
        <v>2</v>
      </c>
      <c r="L132" s="19">
        <v>32.51</v>
      </c>
      <c r="M132" s="19">
        <v>0</v>
      </c>
    </row>
    <row r="133" s="17" customFormat="1" spans="1:13">
      <c r="A133" s="19" t="s">
        <v>169</v>
      </c>
      <c r="B133" s="19" t="s">
        <v>37</v>
      </c>
      <c r="C133" s="19" t="s">
        <v>38</v>
      </c>
      <c r="D133" s="19">
        <v>89.55</v>
      </c>
      <c r="E133" s="19">
        <v>844</v>
      </c>
      <c r="F133" s="19">
        <v>14</v>
      </c>
      <c r="G133" s="19">
        <v>1</v>
      </c>
      <c r="H133" s="19">
        <v>89.55</v>
      </c>
      <c r="I133" s="19">
        <v>3</v>
      </c>
      <c r="J133" s="19">
        <v>29.85</v>
      </c>
      <c r="K133" s="19">
        <v>3</v>
      </c>
      <c r="L133" s="19">
        <v>29.85</v>
      </c>
      <c r="M133" s="19">
        <v>41.9</v>
      </c>
    </row>
    <row r="134" s="17" customFormat="1" spans="1:13">
      <c r="A134" s="19" t="s">
        <v>170</v>
      </c>
      <c r="B134" s="19" t="s">
        <v>37</v>
      </c>
      <c r="C134" s="19" t="s">
        <v>38</v>
      </c>
      <c r="D134" s="19">
        <v>87.16</v>
      </c>
      <c r="E134" s="19">
        <v>718</v>
      </c>
      <c r="F134" s="19">
        <v>10</v>
      </c>
      <c r="G134" s="19">
        <v>1</v>
      </c>
      <c r="H134" s="19">
        <v>87.16</v>
      </c>
      <c r="I134" s="19">
        <v>7</v>
      </c>
      <c r="J134" s="19">
        <v>12.45</v>
      </c>
      <c r="K134" s="19">
        <v>7</v>
      </c>
      <c r="L134" s="19">
        <v>12.45</v>
      </c>
      <c r="M134" s="19">
        <v>30</v>
      </c>
    </row>
    <row r="135" s="17" customFormat="1" spans="1:13">
      <c r="A135" s="19" t="s">
        <v>171</v>
      </c>
      <c r="B135" s="19" t="s">
        <v>37</v>
      </c>
      <c r="C135" s="19" t="s">
        <v>38</v>
      </c>
      <c r="D135" s="19">
        <v>0.53</v>
      </c>
      <c r="E135" s="19">
        <v>78</v>
      </c>
      <c r="F135" s="19">
        <v>1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</row>
    <row r="136" s="17" customFormat="1" spans="1:13">
      <c r="A136" s="19" t="s">
        <v>172</v>
      </c>
      <c r="B136" s="19" t="s">
        <v>37</v>
      </c>
      <c r="C136" s="19" t="s">
        <v>38</v>
      </c>
      <c r="D136" s="19">
        <v>45.76</v>
      </c>
      <c r="E136" s="19">
        <v>316</v>
      </c>
      <c r="F136" s="19">
        <v>8</v>
      </c>
      <c r="G136" s="19">
        <v>0</v>
      </c>
      <c r="H136" s="19">
        <v>0</v>
      </c>
      <c r="I136" s="19">
        <v>3</v>
      </c>
      <c r="J136" s="19">
        <v>15.25</v>
      </c>
      <c r="K136" s="19">
        <v>3</v>
      </c>
      <c r="L136" s="19">
        <v>15.25</v>
      </c>
      <c r="M136" s="19">
        <v>0</v>
      </c>
    </row>
    <row r="137" s="17" customFormat="1" spans="1:13">
      <c r="A137" s="19" t="s">
        <v>173</v>
      </c>
      <c r="B137" s="19" t="s">
        <v>37</v>
      </c>
      <c r="C137" s="19" t="s">
        <v>38</v>
      </c>
      <c r="D137" s="19">
        <v>43</v>
      </c>
      <c r="E137" s="19">
        <v>379</v>
      </c>
      <c r="F137" s="19">
        <v>5</v>
      </c>
      <c r="G137" s="19">
        <v>0</v>
      </c>
      <c r="H137" s="19">
        <v>0</v>
      </c>
      <c r="I137" s="19">
        <v>2</v>
      </c>
      <c r="J137" s="19">
        <v>21.5</v>
      </c>
      <c r="K137" s="19">
        <v>2</v>
      </c>
      <c r="L137" s="19">
        <v>21.5</v>
      </c>
      <c r="M137" s="19">
        <v>0</v>
      </c>
    </row>
    <row r="138" s="17" customFormat="1" spans="1:13">
      <c r="A138" s="19" t="s">
        <v>174</v>
      </c>
      <c r="B138" s="19" t="s">
        <v>37</v>
      </c>
      <c r="C138" s="19" t="s">
        <v>38</v>
      </c>
      <c r="D138" s="19">
        <v>23.74</v>
      </c>
      <c r="E138" s="19">
        <v>239</v>
      </c>
      <c r="F138" s="19">
        <v>6</v>
      </c>
      <c r="G138" s="19">
        <v>1</v>
      </c>
      <c r="H138" s="19">
        <v>23.74</v>
      </c>
      <c r="I138" s="19">
        <v>2</v>
      </c>
      <c r="J138" s="19">
        <v>11.87</v>
      </c>
      <c r="K138" s="19">
        <v>3</v>
      </c>
      <c r="L138" s="19">
        <v>7.91</v>
      </c>
      <c r="M138" s="19">
        <v>6</v>
      </c>
    </row>
    <row r="139" s="17" customFormat="1" spans="1:13">
      <c r="A139" s="19" t="s">
        <v>175</v>
      </c>
      <c r="B139" s="19" t="s">
        <v>37</v>
      </c>
      <c r="C139" s="19" t="s">
        <v>38</v>
      </c>
      <c r="D139" s="19">
        <v>50.07</v>
      </c>
      <c r="E139" s="19">
        <v>404</v>
      </c>
      <c r="F139" s="19">
        <v>5</v>
      </c>
      <c r="G139" s="19">
        <v>0</v>
      </c>
      <c r="H139" s="19">
        <v>0</v>
      </c>
      <c r="I139" s="19">
        <v>2</v>
      </c>
      <c r="J139" s="19">
        <v>25.04</v>
      </c>
      <c r="K139" s="19">
        <v>2</v>
      </c>
      <c r="L139" s="19">
        <v>25.04</v>
      </c>
      <c r="M139" s="19">
        <v>0</v>
      </c>
    </row>
    <row r="140" s="17" customFormat="1" spans="1:13">
      <c r="A140" s="19" t="s">
        <v>176</v>
      </c>
      <c r="B140" s="19" t="s">
        <v>37</v>
      </c>
      <c r="C140" s="19" t="s">
        <v>38</v>
      </c>
      <c r="D140" s="19">
        <v>51.33</v>
      </c>
      <c r="E140" s="19">
        <v>429</v>
      </c>
      <c r="F140" s="19">
        <v>4</v>
      </c>
      <c r="G140" s="19">
        <v>0</v>
      </c>
      <c r="H140" s="19">
        <v>0</v>
      </c>
      <c r="I140" s="19">
        <v>0</v>
      </c>
      <c r="J140" s="19">
        <v>0</v>
      </c>
      <c r="K140" s="19">
        <v>1</v>
      </c>
      <c r="L140" s="19">
        <v>51.33</v>
      </c>
      <c r="M140" s="19">
        <v>0</v>
      </c>
    </row>
    <row r="141" s="17" customFormat="1" spans="1:13">
      <c r="A141" s="19" t="s">
        <v>177</v>
      </c>
      <c r="B141" s="19" t="s">
        <v>37</v>
      </c>
      <c r="C141" s="19" t="s">
        <v>38</v>
      </c>
      <c r="D141" s="19">
        <v>46.33</v>
      </c>
      <c r="E141" s="19">
        <v>421</v>
      </c>
      <c r="F141" s="19">
        <v>5</v>
      </c>
      <c r="G141" s="19">
        <v>0</v>
      </c>
      <c r="H141" s="19">
        <v>0</v>
      </c>
      <c r="I141" s="19">
        <v>1</v>
      </c>
      <c r="J141" s="19">
        <v>46.33</v>
      </c>
      <c r="K141" s="19">
        <v>0</v>
      </c>
      <c r="L141" s="19">
        <v>0</v>
      </c>
      <c r="M141" s="19">
        <v>0</v>
      </c>
    </row>
    <row r="142" s="17" customFormat="1" spans="1:13">
      <c r="A142" s="19" t="s">
        <v>178</v>
      </c>
      <c r="B142" s="19" t="s">
        <v>37</v>
      </c>
      <c r="C142" s="19" t="s">
        <v>38</v>
      </c>
      <c r="D142" s="19">
        <v>84.73</v>
      </c>
      <c r="E142" s="19">
        <v>859</v>
      </c>
      <c r="F142" s="19">
        <v>11</v>
      </c>
      <c r="G142" s="19">
        <v>1</v>
      </c>
      <c r="H142" s="19">
        <v>84.73</v>
      </c>
      <c r="I142" s="19">
        <v>6</v>
      </c>
      <c r="J142" s="19">
        <v>14.12</v>
      </c>
      <c r="K142" s="19">
        <v>7</v>
      </c>
      <c r="L142" s="19">
        <v>12.1</v>
      </c>
      <c r="M142" s="19">
        <v>6</v>
      </c>
    </row>
    <row r="143" s="17" customFormat="1" spans="1:13">
      <c r="A143" s="19" t="s">
        <v>179</v>
      </c>
      <c r="B143" s="19" t="s">
        <v>37</v>
      </c>
      <c r="C143" s="19" t="s">
        <v>38</v>
      </c>
      <c r="D143" s="19">
        <v>65.43</v>
      </c>
      <c r="E143" s="19">
        <v>667</v>
      </c>
      <c r="F143" s="19">
        <v>8</v>
      </c>
      <c r="G143" s="19">
        <v>1</v>
      </c>
      <c r="H143" s="19">
        <v>65.43</v>
      </c>
      <c r="I143" s="19">
        <v>4</v>
      </c>
      <c r="J143" s="19">
        <v>16.36</v>
      </c>
      <c r="K143" s="19">
        <v>4</v>
      </c>
      <c r="L143" s="19">
        <v>16.36</v>
      </c>
      <c r="M143" s="19">
        <v>29.9</v>
      </c>
    </row>
    <row r="144" s="17" customFormat="1" spans="1:13">
      <c r="A144" s="19" t="s">
        <v>180</v>
      </c>
      <c r="B144" s="19" t="s">
        <v>37</v>
      </c>
      <c r="C144" s="19" t="s">
        <v>38</v>
      </c>
      <c r="D144" s="19">
        <v>45.22</v>
      </c>
      <c r="E144" s="19">
        <v>455</v>
      </c>
      <c r="F144" s="19">
        <v>8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</row>
    <row r="145" s="17" customFormat="1" spans="1:13">
      <c r="A145" s="19" t="s">
        <v>181</v>
      </c>
      <c r="B145" s="19" t="s">
        <v>37</v>
      </c>
      <c r="C145" s="19" t="s">
        <v>38</v>
      </c>
      <c r="D145" s="19">
        <v>0</v>
      </c>
      <c r="E145" s="19">
        <v>40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1</v>
      </c>
      <c r="L145" s="19">
        <v>0</v>
      </c>
      <c r="M145" s="19">
        <v>0</v>
      </c>
    </row>
    <row r="146" s="17" customFormat="1" spans="1:13">
      <c r="A146" s="19" t="s">
        <v>182</v>
      </c>
      <c r="B146" s="19" t="s">
        <v>37</v>
      </c>
      <c r="C146" s="19" t="s">
        <v>38</v>
      </c>
      <c r="D146" s="19">
        <v>24.61</v>
      </c>
      <c r="E146" s="19">
        <v>250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</row>
    <row r="147" s="17" customFormat="1" spans="1:13">
      <c r="A147" s="19" t="s">
        <v>183</v>
      </c>
      <c r="B147" s="19" t="s">
        <v>37</v>
      </c>
      <c r="C147" s="19" t="s">
        <v>38</v>
      </c>
      <c r="D147" s="19">
        <v>46.6</v>
      </c>
      <c r="E147" s="19">
        <v>506</v>
      </c>
      <c r="F147" s="19">
        <v>3</v>
      </c>
      <c r="G147" s="19">
        <v>0</v>
      </c>
      <c r="H147" s="19">
        <v>0</v>
      </c>
      <c r="I147" s="19">
        <v>2</v>
      </c>
      <c r="J147" s="19">
        <v>23.3</v>
      </c>
      <c r="K147" s="19">
        <v>2</v>
      </c>
      <c r="L147" s="19">
        <v>23.3</v>
      </c>
      <c r="M147" s="19">
        <v>0</v>
      </c>
    </row>
    <row r="148" s="17" customFormat="1" spans="1:13">
      <c r="A148" s="19" t="s">
        <v>184</v>
      </c>
      <c r="B148" s="19" t="s">
        <v>37</v>
      </c>
      <c r="C148" s="19" t="s">
        <v>38</v>
      </c>
      <c r="D148" s="19">
        <v>24.73</v>
      </c>
      <c r="E148" s="19">
        <v>256</v>
      </c>
      <c r="F148" s="19">
        <v>5</v>
      </c>
      <c r="G148" s="19">
        <v>0</v>
      </c>
      <c r="H148" s="19">
        <v>0</v>
      </c>
      <c r="I148" s="19">
        <v>0</v>
      </c>
      <c r="J148" s="19">
        <v>0</v>
      </c>
      <c r="K148" s="19">
        <v>1</v>
      </c>
      <c r="L148" s="19">
        <v>24.73</v>
      </c>
      <c r="M148" s="19">
        <v>0</v>
      </c>
    </row>
    <row r="149" s="17" customFormat="1" spans="1:13">
      <c r="A149" s="19" t="s">
        <v>185</v>
      </c>
      <c r="B149" s="19" t="s">
        <v>37</v>
      </c>
      <c r="C149" s="19" t="s">
        <v>38</v>
      </c>
      <c r="D149" s="19">
        <v>19.6</v>
      </c>
      <c r="E149" s="19">
        <v>184</v>
      </c>
      <c r="F149" s="19">
        <v>1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</row>
    <row r="150" s="17" customFormat="1" spans="1:13">
      <c r="A150" s="19" t="s">
        <v>186</v>
      </c>
      <c r="B150" s="19" t="s">
        <v>37</v>
      </c>
      <c r="C150" s="19" t="s">
        <v>38</v>
      </c>
      <c r="D150" s="19">
        <v>23.65</v>
      </c>
      <c r="E150" s="19">
        <v>134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</row>
    <row r="151" s="17" customFormat="1" spans="1:13">
      <c r="A151" s="19" t="s">
        <v>187</v>
      </c>
      <c r="B151" s="19" t="s">
        <v>37</v>
      </c>
      <c r="C151" s="19" t="s">
        <v>38</v>
      </c>
      <c r="D151" s="19">
        <v>16.42</v>
      </c>
      <c r="E151" s="19">
        <v>157</v>
      </c>
      <c r="F151" s="19">
        <v>1</v>
      </c>
      <c r="G151" s="19">
        <v>0</v>
      </c>
      <c r="H151" s="19">
        <v>0</v>
      </c>
      <c r="I151" s="19">
        <v>1</v>
      </c>
      <c r="J151" s="19">
        <v>16.42</v>
      </c>
      <c r="K151" s="19">
        <v>1</v>
      </c>
      <c r="L151" s="19">
        <v>16.42</v>
      </c>
      <c r="M151" s="19">
        <v>0</v>
      </c>
    </row>
    <row r="152" s="17" customFormat="1" spans="1:13">
      <c r="A152" s="19" t="s">
        <v>188</v>
      </c>
      <c r="B152" s="19" t="s">
        <v>37</v>
      </c>
      <c r="C152" s="19" t="s">
        <v>38</v>
      </c>
      <c r="D152" s="19">
        <v>19.33</v>
      </c>
      <c r="E152" s="19">
        <v>177</v>
      </c>
      <c r="F152" s="19">
        <v>2</v>
      </c>
      <c r="G152" s="19">
        <v>0</v>
      </c>
      <c r="H152" s="19">
        <v>0</v>
      </c>
      <c r="I152" s="19">
        <v>2</v>
      </c>
      <c r="J152" s="19">
        <v>9.67</v>
      </c>
      <c r="K152" s="19">
        <v>2</v>
      </c>
      <c r="L152" s="19">
        <v>9.67</v>
      </c>
      <c r="M152" s="19">
        <v>0</v>
      </c>
    </row>
    <row r="153" s="17" customFormat="1" spans="1:13">
      <c r="A153" s="19" t="s">
        <v>189</v>
      </c>
      <c r="B153" s="19" t="s">
        <v>37</v>
      </c>
      <c r="C153" s="19" t="s">
        <v>38</v>
      </c>
      <c r="D153" s="19">
        <v>25.96</v>
      </c>
      <c r="E153" s="19">
        <v>225</v>
      </c>
      <c r="F153" s="19">
        <v>3</v>
      </c>
      <c r="G153" s="19">
        <v>0</v>
      </c>
      <c r="H153" s="19">
        <v>0</v>
      </c>
      <c r="I153" s="19">
        <v>1</v>
      </c>
      <c r="J153" s="19">
        <v>25.96</v>
      </c>
      <c r="K153" s="19">
        <v>1</v>
      </c>
      <c r="L153" s="19">
        <v>25.96</v>
      </c>
      <c r="M153" s="19">
        <v>0</v>
      </c>
    </row>
    <row r="154" s="17" customFormat="1" spans="1:13">
      <c r="A154" s="19" t="s">
        <v>190</v>
      </c>
      <c r="B154" s="19" t="s">
        <v>37</v>
      </c>
      <c r="C154" s="19" t="s">
        <v>38</v>
      </c>
      <c r="D154" s="19">
        <v>32.41</v>
      </c>
      <c r="E154" s="19">
        <v>288</v>
      </c>
      <c r="F154" s="19">
        <v>3</v>
      </c>
      <c r="G154" s="19">
        <v>0</v>
      </c>
      <c r="H154" s="19">
        <v>0</v>
      </c>
      <c r="I154" s="19">
        <v>2</v>
      </c>
      <c r="J154" s="19">
        <v>16.21</v>
      </c>
      <c r="K154" s="19">
        <v>2</v>
      </c>
      <c r="L154" s="19">
        <v>16.21</v>
      </c>
      <c r="M154" s="19">
        <v>0</v>
      </c>
    </row>
    <row r="155" s="17" customFormat="1" spans="1:13">
      <c r="A155" s="19" t="s">
        <v>191</v>
      </c>
      <c r="B155" s="19" t="s">
        <v>37</v>
      </c>
      <c r="C155" s="19" t="s">
        <v>38</v>
      </c>
      <c r="D155" s="19">
        <v>48.68</v>
      </c>
      <c r="E155" s="19">
        <v>409</v>
      </c>
      <c r="F155" s="19">
        <v>5</v>
      </c>
      <c r="G155" s="19">
        <v>0</v>
      </c>
      <c r="H155" s="19">
        <v>0</v>
      </c>
      <c r="I155" s="19">
        <v>1</v>
      </c>
      <c r="J155" s="19">
        <v>48.68</v>
      </c>
      <c r="K155" s="19">
        <v>1</v>
      </c>
      <c r="L155" s="19">
        <v>48.68</v>
      </c>
      <c r="M155" s="19">
        <v>0</v>
      </c>
    </row>
    <row r="156" s="17" customFormat="1" spans="1:13">
      <c r="A156" s="19" t="s">
        <v>192</v>
      </c>
      <c r="B156" s="19" t="s">
        <v>37</v>
      </c>
      <c r="C156" s="19" t="s">
        <v>38</v>
      </c>
      <c r="D156" s="19">
        <v>66.86</v>
      </c>
      <c r="E156" s="19">
        <v>565</v>
      </c>
      <c r="F156" s="19">
        <v>11</v>
      </c>
      <c r="G156" s="19">
        <v>0</v>
      </c>
      <c r="H156" s="19">
        <v>0</v>
      </c>
      <c r="I156" s="19">
        <v>4</v>
      </c>
      <c r="J156" s="19">
        <v>16.72</v>
      </c>
      <c r="K156" s="19">
        <v>5</v>
      </c>
      <c r="L156" s="19">
        <v>13.37</v>
      </c>
      <c r="M156" s="19">
        <v>0</v>
      </c>
    </row>
    <row r="157" s="17" customFormat="1" spans="1:13">
      <c r="A157" s="19" t="s">
        <v>193</v>
      </c>
      <c r="B157" s="19" t="s">
        <v>37</v>
      </c>
      <c r="C157" s="19" t="s">
        <v>38</v>
      </c>
      <c r="D157" s="19">
        <v>67.91</v>
      </c>
      <c r="E157" s="19">
        <v>535</v>
      </c>
      <c r="F157" s="19">
        <v>6</v>
      </c>
      <c r="G157" s="19">
        <v>0</v>
      </c>
      <c r="H157" s="19">
        <v>0</v>
      </c>
      <c r="I157" s="19">
        <v>2</v>
      </c>
      <c r="J157" s="19">
        <v>33.96</v>
      </c>
      <c r="K157" s="19">
        <v>2</v>
      </c>
      <c r="L157" s="19">
        <v>33.96</v>
      </c>
      <c r="M157" s="19">
        <v>0</v>
      </c>
    </row>
    <row r="158" s="17" customFormat="1" spans="1:13">
      <c r="A158" s="19" t="s">
        <v>194</v>
      </c>
      <c r="B158" s="19" t="s">
        <v>37</v>
      </c>
      <c r="C158" s="19" t="s">
        <v>38</v>
      </c>
      <c r="D158" s="19">
        <v>68.32</v>
      </c>
      <c r="E158" s="19">
        <v>679</v>
      </c>
      <c r="F158" s="19">
        <v>12</v>
      </c>
      <c r="G158" s="19">
        <v>0</v>
      </c>
      <c r="H158" s="19">
        <v>0</v>
      </c>
      <c r="I158" s="19">
        <v>3</v>
      </c>
      <c r="J158" s="19">
        <v>22.77</v>
      </c>
      <c r="K158" s="19">
        <v>4</v>
      </c>
      <c r="L158" s="19">
        <v>17.08</v>
      </c>
      <c r="M158" s="19">
        <v>0</v>
      </c>
    </row>
    <row r="159" s="17" customFormat="1" spans="1:13">
      <c r="A159" s="19" t="s">
        <v>195</v>
      </c>
      <c r="B159" s="19" t="s">
        <v>37</v>
      </c>
      <c r="C159" s="19" t="s">
        <v>38</v>
      </c>
      <c r="D159" s="19">
        <v>42.55</v>
      </c>
      <c r="E159" s="19">
        <v>390</v>
      </c>
      <c r="F159" s="19">
        <v>5</v>
      </c>
      <c r="G159" s="19">
        <v>1</v>
      </c>
      <c r="H159" s="19">
        <v>42.55</v>
      </c>
      <c r="I159" s="19">
        <v>2</v>
      </c>
      <c r="J159" s="19">
        <v>21.28</v>
      </c>
      <c r="K159" s="19">
        <v>2</v>
      </c>
      <c r="L159" s="19">
        <v>21.28</v>
      </c>
      <c r="M159" s="19">
        <v>30</v>
      </c>
    </row>
    <row r="160" s="17" customFormat="1" spans="1:13">
      <c r="A160" s="19" t="s">
        <v>196</v>
      </c>
      <c r="B160" s="19" t="s">
        <v>37</v>
      </c>
      <c r="C160" s="19" t="s">
        <v>38</v>
      </c>
      <c r="D160" s="19">
        <v>34.69</v>
      </c>
      <c r="E160" s="19">
        <v>335</v>
      </c>
      <c r="F160" s="19">
        <v>1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</row>
    <row r="161" s="17" customFormat="1" spans="1:13">
      <c r="A161" s="19" t="s">
        <v>197</v>
      </c>
      <c r="B161" s="19" t="s">
        <v>37</v>
      </c>
      <c r="C161" s="19" t="s">
        <v>38</v>
      </c>
      <c r="D161" s="19">
        <v>36.79</v>
      </c>
      <c r="E161" s="19">
        <v>317</v>
      </c>
      <c r="F161" s="19">
        <v>6</v>
      </c>
      <c r="G161" s="19">
        <v>0</v>
      </c>
      <c r="H161" s="19">
        <v>0</v>
      </c>
      <c r="I161" s="19">
        <v>2</v>
      </c>
      <c r="J161" s="19">
        <v>18.4</v>
      </c>
      <c r="K161" s="19">
        <v>2</v>
      </c>
      <c r="L161" s="19">
        <v>18.4</v>
      </c>
      <c r="M161" s="19">
        <v>0</v>
      </c>
    </row>
    <row r="162" s="17" customFormat="1" spans="1:13">
      <c r="A162" s="19" t="s">
        <v>198</v>
      </c>
      <c r="B162" s="19" t="s">
        <v>37</v>
      </c>
      <c r="C162" s="19" t="s">
        <v>38</v>
      </c>
      <c r="D162" s="19">
        <v>41.51</v>
      </c>
      <c r="E162" s="19">
        <v>466</v>
      </c>
      <c r="F162" s="19">
        <v>4</v>
      </c>
      <c r="G162" s="19">
        <v>1</v>
      </c>
      <c r="H162" s="19">
        <v>41.51</v>
      </c>
      <c r="I162" s="19">
        <v>0</v>
      </c>
      <c r="J162" s="19">
        <v>0</v>
      </c>
      <c r="K162" s="19">
        <v>0</v>
      </c>
      <c r="L162" s="19">
        <v>0</v>
      </c>
      <c r="M162" s="19">
        <v>30</v>
      </c>
    </row>
    <row r="163" s="17" customFormat="1" spans="1:13">
      <c r="A163" s="19" t="s">
        <v>199</v>
      </c>
      <c r="B163" s="19" t="s">
        <v>37</v>
      </c>
      <c r="C163" s="19" t="s">
        <v>38</v>
      </c>
      <c r="D163" s="19">
        <v>38.32</v>
      </c>
      <c r="E163" s="19">
        <v>433</v>
      </c>
      <c r="F163" s="19">
        <v>6</v>
      </c>
      <c r="G163" s="19">
        <v>0</v>
      </c>
      <c r="H163" s="19">
        <v>0</v>
      </c>
      <c r="I163" s="19">
        <v>1</v>
      </c>
      <c r="J163" s="19">
        <v>38.32</v>
      </c>
      <c r="K163" s="19">
        <v>1</v>
      </c>
      <c r="L163" s="19">
        <v>38.32</v>
      </c>
      <c r="M163" s="19">
        <v>0</v>
      </c>
    </row>
    <row r="164" s="17" customFormat="1" spans="1:13">
      <c r="A164" s="19" t="s">
        <v>200</v>
      </c>
      <c r="B164" s="19" t="s">
        <v>37</v>
      </c>
      <c r="C164" s="19" t="s">
        <v>38</v>
      </c>
      <c r="D164" s="19">
        <v>33.56</v>
      </c>
      <c r="E164" s="19">
        <v>375</v>
      </c>
      <c r="F164" s="19">
        <v>6</v>
      </c>
      <c r="G164" s="19">
        <v>0</v>
      </c>
      <c r="H164" s="19">
        <v>0</v>
      </c>
      <c r="I164" s="19">
        <v>2</v>
      </c>
      <c r="J164" s="19">
        <v>16.78</v>
      </c>
      <c r="K164" s="19">
        <v>2</v>
      </c>
      <c r="L164" s="19">
        <v>16.78</v>
      </c>
      <c r="M164" s="19">
        <v>0</v>
      </c>
    </row>
    <row r="165" s="17" customFormat="1" spans="1:13">
      <c r="A165" s="19" t="s">
        <v>201</v>
      </c>
      <c r="B165" s="19" t="s">
        <v>37</v>
      </c>
      <c r="C165" s="19" t="s">
        <v>38</v>
      </c>
      <c r="D165" s="19">
        <v>38.55</v>
      </c>
      <c r="E165" s="19">
        <v>395</v>
      </c>
      <c r="F165" s="19">
        <v>6</v>
      </c>
      <c r="G165" s="19">
        <v>1</v>
      </c>
      <c r="H165" s="19">
        <v>38.55</v>
      </c>
      <c r="I165" s="19">
        <v>3</v>
      </c>
      <c r="J165" s="19">
        <v>12.85</v>
      </c>
      <c r="K165" s="19">
        <v>3</v>
      </c>
      <c r="L165" s="19">
        <v>12.85</v>
      </c>
      <c r="M165" s="19">
        <v>30</v>
      </c>
    </row>
    <row r="166" s="17" customFormat="1" spans="1:13">
      <c r="A166" s="19" t="s">
        <v>202</v>
      </c>
      <c r="B166" s="19" t="s">
        <v>37</v>
      </c>
      <c r="C166" s="19" t="s">
        <v>38</v>
      </c>
      <c r="D166" s="19">
        <v>32.75</v>
      </c>
      <c r="E166" s="19">
        <v>374</v>
      </c>
      <c r="F166" s="19">
        <v>4</v>
      </c>
      <c r="G166" s="19">
        <v>0</v>
      </c>
      <c r="H166" s="19">
        <v>0</v>
      </c>
      <c r="I166" s="19">
        <v>1</v>
      </c>
      <c r="J166" s="19">
        <v>32.75</v>
      </c>
      <c r="K166" s="19">
        <v>1</v>
      </c>
      <c r="L166" s="19">
        <v>32.75</v>
      </c>
      <c r="M166" s="19">
        <v>0</v>
      </c>
    </row>
    <row r="167" s="17" customFormat="1" spans="1:13">
      <c r="A167" s="19" t="s">
        <v>203</v>
      </c>
      <c r="B167" s="19" t="s">
        <v>37</v>
      </c>
      <c r="C167" s="19" t="s">
        <v>38</v>
      </c>
      <c r="D167" s="19">
        <v>27.23</v>
      </c>
      <c r="E167" s="19">
        <v>330</v>
      </c>
      <c r="F167" s="19">
        <v>1</v>
      </c>
      <c r="G167" s="19">
        <v>1</v>
      </c>
      <c r="H167" s="19">
        <v>27.23</v>
      </c>
      <c r="I167" s="19">
        <v>0</v>
      </c>
      <c r="J167" s="19">
        <v>0</v>
      </c>
      <c r="K167" s="19">
        <v>0</v>
      </c>
      <c r="L167" s="19">
        <v>0</v>
      </c>
      <c r="M167" s="19">
        <v>6</v>
      </c>
    </row>
    <row r="168" s="17" customFormat="1" spans="1:13">
      <c r="A168" s="19" t="s">
        <v>204</v>
      </c>
      <c r="B168" s="19" t="s">
        <v>37</v>
      </c>
      <c r="C168" s="19" t="s">
        <v>38</v>
      </c>
      <c r="D168" s="19">
        <v>24.16</v>
      </c>
      <c r="E168" s="19">
        <v>265</v>
      </c>
      <c r="F168" s="19">
        <v>5</v>
      </c>
      <c r="G168" s="19">
        <v>0</v>
      </c>
      <c r="H168" s="19">
        <v>0</v>
      </c>
      <c r="I168" s="19">
        <v>4</v>
      </c>
      <c r="J168" s="19">
        <v>6.04</v>
      </c>
      <c r="K168" s="19">
        <v>4</v>
      </c>
      <c r="L168" s="19">
        <v>6.04</v>
      </c>
      <c r="M168" s="19">
        <v>0</v>
      </c>
    </row>
    <row r="169" s="17" customFormat="1" spans="1:13">
      <c r="A169" s="19" t="s">
        <v>205</v>
      </c>
      <c r="B169" s="19" t="s">
        <v>37</v>
      </c>
      <c r="C169" s="19" t="s">
        <v>38</v>
      </c>
      <c r="D169" s="19">
        <v>13.88</v>
      </c>
      <c r="E169" s="19">
        <v>120</v>
      </c>
      <c r="F169" s="19">
        <v>1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</row>
    <row r="170" s="17" customFormat="1" spans="1:13">
      <c r="A170" s="19" t="s">
        <v>36</v>
      </c>
      <c r="B170" s="19" t="s">
        <v>206</v>
      </c>
      <c r="C170" s="19" t="s">
        <v>207</v>
      </c>
      <c r="D170" s="19">
        <v>96.9</v>
      </c>
      <c r="E170" s="19">
        <v>1157</v>
      </c>
      <c r="F170" s="19">
        <v>30</v>
      </c>
      <c r="G170" s="19">
        <v>0</v>
      </c>
      <c r="H170" s="19">
        <v>0</v>
      </c>
      <c r="I170" s="19">
        <v>9</v>
      </c>
      <c r="J170" s="19">
        <v>10.77</v>
      </c>
      <c r="K170" s="19">
        <v>9</v>
      </c>
      <c r="L170" s="19">
        <v>10.77</v>
      </c>
      <c r="M170" s="19">
        <v>0</v>
      </c>
    </row>
    <row r="171" s="17" customFormat="1" spans="1:13">
      <c r="A171" s="19" t="s">
        <v>39</v>
      </c>
      <c r="B171" s="19" t="s">
        <v>206</v>
      </c>
      <c r="C171" s="19" t="s">
        <v>207</v>
      </c>
      <c r="D171" s="19">
        <v>73.87</v>
      </c>
      <c r="E171" s="19">
        <v>1016</v>
      </c>
      <c r="F171" s="19">
        <v>25</v>
      </c>
      <c r="G171" s="19">
        <v>1</v>
      </c>
      <c r="H171" s="19">
        <v>73.87</v>
      </c>
      <c r="I171" s="19">
        <v>8</v>
      </c>
      <c r="J171" s="19">
        <v>9.23</v>
      </c>
      <c r="K171" s="19">
        <v>9</v>
      </c>
      <c r="L171" s="19">
        <v>8.21</v>
      </c>
      <c r="M171" s="19">
        <v>48</v>
      </c>
    </row>
    <row r="172" s="17" customFormat="1" spans="1:13">
      <c r="A172" s="19" t="s">
        <v>40</v>
      </c>
      <c r="B172" s="19" t="s">
        <v>206</v>
      </c>
      <c r="C172" s="19" t="s">
        <v>207</v>
      </c>
      <c r="D172" s="19">
        <v>91.93</v>
      </c>
      <c r="E172" s="19">
        <v>1087</v>
      </c>
      <c r="F172" s="19">
        <v>28</v>
      </c>
      <c r="G172" s="19">
        <v>0</v>
      </c>
      <c r="H172" s="19">
        <v>0</v>
      </c>
      <c r="I172" s="19">
        <v>5</v>
      </c>
      <c r="J172" s="19">
        <v>18.39</v>
      </c>
      <c r="K172" s="19">
        <v>5</v>
      </c>
      <c r="L172" s="19">
        <v>18.39</v>
      </c>
      <c r="M172" s="19">
        <v>0</v>
      </c>
    </row>
    <row r="173" s="17" customFormat="1" spans="1:13">
      <c r="A173" s="19" t="s">
        <v>41</v>
      </c>
      <c r="B173" s="19" t="s">
        <v>206</v>
      </c>
      <c r="C173" s="19" t="s">
        <v>207</v>
      </c>
      <c r="D173" s="19">
        <v>81.24</v>
      </c>
      <c r="E173" s="19">
        <v>989</v>
      </c>
      <c r="F173" s="19">
        <v>16</v>
      </c>
      <c r="G173" s="19">
        <v>1</v>
      </c>
      <c r="H173" s="19">
        <v>81.24</v>
      </c>
      <c r="I173" s="19">
        <v>4</v>
      </c>
      <c r="J173" s="19">
        <v>20.31</v>
      </c>
      <c r="K173" s="19">
        <v>4</v>
      </c>
      <c r="L173" s="19">
        <v>20.31</v>
      </c>
      <c r="M173" s="19">
        <v>39.9</v>
      </c>
    </row>
    <row r="174" s="17" customFormat="1" spans="1:13">
      <c r="A174" s="19" t="s">
        <v>42</v>
      </c>
      <c r="B174" s="19" t="s">
        <v>206</v>
      </c>
      <c r="C174" s="19" t="s">
        <v>207</v>
      </c>
      <c r="D174" s="19">
        <v>78.4</v>
      </c>
      <c r="E174" s="19">
        <v>956</v>
      </c>
      <c r="F174" s="19">
        <v>20</v>
      </c>
      <c r="G174" s="19">
        <v>0</v>
      </c>
      <c r="H174" s="19">
        <v>0</v>
      </c>
      <c r="I174" s="19">
        <v>4</v>
      </c>
      <c r="J174" s="19">
        <v>19.6</v>
      </c>
      <c r="K174" s="19">
        <v>4</v>
      </c>
      <c r="L174" s="19">
        <v>19.6</v>
      </c>
      <c r="M174" s="19">
        <v>0</v>
      </c>
    </row>
    <row r="175" s="17" customFormat="1" spans="1:13">
      <c r="A175" s="19" t="s">
        <v>43</v>
      </c>
      <c r="B175" s="19" t="s">
        <v>206</v>
      </c>
      <c r="C175" s="19" t="s">
        <v>207</v>
      </c>
      <c r="D175" s="19">
        <v>117.33</v>
      </c>
      <c r="E175" s="19">
        <v>1568</v>
      </c>
      <c r="F175" s="19">
        <v>33</v>
      </c>
      <c r="G175" s="19">
        <v>0</v>
      </c>
      <c r="H175" s="19">
        <v>0</v>
      </c>
      <c r="I175" s="19">
        <v>12</v>
      </c>
      <c r="J175" s="19">
        <v>9.78</v>
      </c>
      <c r="K175" s="19">
        <v>14</v>
      </c>
      <c r="L175" s="19">
        <v>8.38</v>
      </c>
      <c r="M175" s="19">
        <v>0</v>
      </c>
    </row>
    <row r="176" s="17" customFormat="1" spans="1:13">
      <c r="A176" s="19" t="s">
        <v>44</v>
      </c>
      <c r="B176" s="19" t="s">
        <v>206</v>
      </c>
      <c r="C176" s="19" t="s">
        <v>207</v>
      </c>
      <c r="D176" s="19">
        <v>141.6</v>
      </c>
      <c r="E176" s="19">
        <v>2343</v>
      </c>
      <c r="F176" s="19">
        <v>51</v>
      </c>
      <c r="G176" s="19">
        <v>0</v>
      </c>
      <c r="H176" s="19">
        <v>0</v>
      </c>
      <c r="I176" s="19">
        <v>13</v>
      </c>
      <c r="J176" s="19">
        <v>10.89</v>
      </c>
      <c r="K176" s="19">
        <v>14</v>
      </c>
      <c r="L176" s="19">
        <v>10.11</v>
      </c>
      <c r="M176" s="19">
        <v>0</v>
      </c>
    </row>
    <row r="177" s="17" customFormat="1" spans="1:13">
      <c r="A177" s="19" t="s">
        <v>45</v>
      </c>
      <c r="B177" s="19" t="s">
        <v>206</v>
      </c>
      <c r="C177" s="19" t="s">
        <v>207</v>
      </c>
      <c r="D177" s="19">
        <v>132.74</v>
      </c>
      <c r="E177" s="19">
        <v>2170</v>
      </c>
      <c r="F177" s="19">
        <v>50</v>
      </c>
      <c r="G177" s="19">
        <v>1</v>
      </c>
      <c r="H177" s="19">
        <v>132.74</v>
      </c>
      <c r="I177" s="19">
        <v>15</v>
      </c>
      <c r="J177" s="19">
        <v>8.85</v>
      </c>
      <c r="K177" s="19">
        <v>17</v>
      </c>
      <c r="L177" s="19">
        <v>7.81</v>
      </c>
      <c r="M177" s="19">
        <v>6</v>
      </c>
    </row>
    <row r="178" s="17" customFormat="1" spans="1:13">
      <c r="A178" s="19" t="s">
        <v>46</v>
      </c>
      <c r="B178" s="19" t="s">
        <v>206</v>
      </c>
      <c r="C178" s="19" t="s">
        <v>207</v>
      </c>
      <c r="D178" s="19">
        <v>133.79</v>
      </c>
      <c r="E178" s="19">
        <v>1923</v>
      </c>
      <c r="F178" s="19">
        <v>38</v>
      </c>
      <c r="G178" s="19">
        <v>0</v>
      </c>
      <c r="H178" s="19">
        <v>0</v>
      </c>
      <c r="I178" s="19">
        <v>14</v>
      </c>
      <c r="J178" s="19">
        <v>9.56</v>
      </c>
      <c r="K178" s="19">
        <v>13</v>
      </c>
      <c r="L178" s="19">
        <v>10.29</v>
      </c>
      <c r="M178" s="19">
        <v>0</v>
      </c>
    </row>
    <row r="179" s="17" customFormat="1" spans="1:13">
      <c r="A179" s="19" t="s">
        <v>47</v>
      </c>
      <c r="B179" s="19" t="s">
        <v>206</v>
      </c>
      <c r="C179" s="19" t="s">
        <v>207</v>
      </c>
      <c r="D179" s="19">
        <v>119.51</v>
      </c>
      <c r="E179" s="19">
        <v>1874</v>
      </c>
      <c r="F179" s="19">
        <v>39</v>
      </c>
      <c r="G179" s="19">
        <v>1</v>
      </c>
      <c r="H179" s="19">
        <v>119.51</v>
      </c>
      <c r="I179" s="19">
        <v>13</v>
      </c>
      <c r="J179" s="19">
        <v>9.19</v>
      </c>
      <c r="K179" s="19">
        <v>16</v>
      </c>
      <c r="L179" s="19">
        <v>7.47</v>
      </c>
      <c r="M179" s="19">
        <v>30</v>
      </c>
    </row>
    <row r="180" s="17" customFormat="1" spans="1:13">
      <c r="A180" s="19" t="s">
        <v>48</v>
      </c>
      <c r="B180" s="19" t="s">
        <v>206</v>
      </c>
      <c r="C180" s="19" t="s">
        <v>207</v>
      </c>
      <c r="D180" s="19">
        <v>84.05</v>
      </c>
      <c r="E180" s="19">
        <v>1362</v>
      </c>
      <c r="F180" s="19">
        <v>26</v>
      </c>
      <c r="G180" s="19">
        <v>0</v>
      </c>
      <c r="H180" s="19">
        <v>0</v>
      </c>
      <c r="I180" s="19">
        <v>6</v>
      </c>
      <c r="J180" s="19">
        <v>14.01</v>
      </c>
      <c r="K180" s="19">
        <v>6</v>
      </c>
      <c r="L180" s="19">
        <v>14.01</v>
      </c>
      <c r="M180" s="19">
        <v>0</v>
      </c>
    </row>
    <row r="181" s="17" customFormat="1" spans="1:13">
      <c r="A181" s="19" t="s">
        <v>49</v>
      </c>
      <c r="B181" s="19" t="s">
        <v>206</v>
      </c>
      <c r="C181" s="19" t="s">
        <v>207</v>
      </c>
      <c r="D181" s="19">
        <v>62.25</v>
      </c>
      <c r="E181" s="19">
        <v>1096</v>
      </c>
      <c r="F181" s="19">
        <v>23</v>
      </c>
      <c r="G181" s="19">
        <v>0</v>
      </c>
      <c r="H181" s="19">
        <v>0</v>
      </c>
      <c r="I181" s="19">
        <v>7</v>
      </c>
      <c r="J181" s="19">
        <v>8.89</v>
      </c>
      <c r="K181" s="19">
        <v>7</v>
      </c>
      <c r="L181" s="19">
        <v>8.89</v>
      </c>
      <c r="M181" s="19">
        <v>15.9</v>
      </c>
    </row>
    <row r="182" s="17" customFormat="1" spans="1:13">
      <c r="A182" s="19" t="s">
        <v>50</v>
      </c>
      <c r="B182" s="19" t="s">
        <v>206</v>
      </c>
      <c r="C182" s="19" t="s">
        <v>207</v>
      </c>
      <c r="D182" s="19">
        <v>104.49</v>
      </c>
      <c r="E182" s="19">
        <v>1159</v>
      </c>
      <c r="F182" s="19">
        <v>34</v>
      </c>
      <c r="G182" s="19">
        <v>1</v>
      </c>
      <c r="H182" s="19">
        <v>104.49</v>
      </c>
      <c r="I182" s="19">
        <v>10</v>
      </c>
      <c r="J182" s="19">
        <v>10.45</v>
      </c>
      <c r="K182" s="19">
        <v>11</v>
      </c>
      <c r="L182" s="19">
        <v>9.5</v>
      </c>
      <c r="M182" s="19">
        <v>172</v>
      </c>
    </row>
    <row r="183" s="17" customFormat="1" spans="1:13">
      <c r="A183" s="19" t="s">
        <v>51</v>
      </c>
      <c r="B183" s="19" t="s">
        <v>206</v>
      </c>
      <c r="C183" s="19" t="s">
        <v>207</v>
      </c>
      <c r="D183" s="19">
        <v>1.43</v>
      </c>
      <c r="E183" s="19">
        <v>172</v>
      </c>
      <c r="F183" s="19">
        <v>5</v>
      </c>
      <c r="G183" s="19">
        <v>0</v>
      </c>
      <c r="H183" s="19">
        <v>0</v>
      </c>
      <c r="I183" s="19">
        <v>3</v>
      </c>
      <c r="J183" s="19">
        <v>0.48</v>
      </c>
      <c r="K183" s="19">
        <v>3</v>
      </c>
      <c r="L183" s="19">
        <v>0.48</v>
      </c>
      <c r="M183" s="19">
        <v>0</v>
      </c>
    </row>
    <row r="184" s="17" customFormat="1" spans="1:13">
      <c r="A184" s="19" t="s">
        <v>52</v>
      </c>
      <c r="B184" s="19" t="s">
        <v>206</v>
      </c>
      <c r="C184" s="19" t="s">
        <v>207</v>
      </c>
      <c r="D184" s="19">
        <v>151.43</v>
      </c>
      <c r="E184" s="19">
        <v>1698</v>
      </c>
      <c r="F184" s="19">
        <v>24</v>
      </c>
      <c r="G184" s="19">
        <v>0</v>
      </c>
      <c r="H184" s="19">
        <v>0</v>
      </c>
      <c r="I184" s="19">
        <v>7</v>
      </c>
      <c r="J184" s="19">
        <v>21.63</v>
      </c>
      <c r="K184" s="19">
        <v>7</v>
      </c>
      <c r="L184" s="19">
        <v>21.63</v>
      </c>
      <c r="M184" s="19">
        <v>414</v>
      </c>
    </row>
    <row r="185" s="17" customFormat="1" spans="1:13">
      <c r="A185" s="19" t="s">
        <v>53</v>
      </c>
      <c r="B185" s="19" t="s">
        <v>206</v>
      </c>
      <c r="C185" s="19" t="s">
        <v>207</v>
      </c>
      <c r="D185" s="19">
        <v>176.17</v>
      </c>
      <c r="E185" s="19">
        <v>2045</v>
      </c>
      <c r="F185" s="19">
        <v>39</v>
      </c>
      <c r="G185" s="19">
        <v>0</v>
      </c>
      <c r="H185" s="19">
        <v>0</v>
      </c>
      <c r="I185" s="19">
        <v>12</v>
      </c>
      <c r="J185" s="19">
        <v>14.68</v>
      </c>
      <c r="K185" s="19">
        <v>12</v>
      </c>
      <c r="L185" s="19">
        <v>14.68</v>
      </c>
      <c r="M185" s="19">
        <v>0</v>
      </c>
    </row>
    <row r="186" s="17" customFormat="1" spans="1:13">
      <c r="A186" s="19" t="s">
        <v>54</v>
      </c>
      <c r="B186" s="19" t="s">
        <v>206</v>
      </c>
      <c r="C186" s="19" t="s">
        <v>207</v>
      </c>
      <c r="D186" s="19">
        <v>303.19</v>
      </c>
      <c r="E186" s="19">
        <v>3304</v>
      </c>
      <c r="F186" s="19">
        <v>57</v>
      </c>
      <c r="G186" s="19">
        <v>3</v>
      </c>
      <c r="H186" s="19">
        <v>101.06</v>
      </c>
      <c r="I186" s="19">
        <v>13</v>
      </c>
      <c r="J186" s="19">
        <v>23.32</v>
      </c>
      <c r="K186" s="19">
        <v>14</v>
      </c>
      <c r="L186" s="19">
        <v>21.66</v>
      </c>
      <c r="M186" s="19">
        <v>159.9</v>
      </c>
    </row>
    <row r="187" s="17" customFormat="1" spans="1:13">
      <c r="A187" s="19" t="s">
        <v>55</v>
      </c>
      <c r="B187" s="19" t="s">
        <v>206</v>
      </c>
      <c r="C187" s="19" t="s">
        <v>207</v>
      </c>
      <c r="D187" s="19">
        <v>165.73</v>
      </c>
      <c r="E187" s="19">
        <v>2351</v>
      </c>
      <c r="F187" s="19">
        <v>39</v>
      </c>
      <c r="G187" s="19">
        <v>0</v>
      </c>
      <c r="H187" s="19">
        <v>0</v>
      </c>
      <c r="I187" s="19">
        <v>11</v>
      </c>
      <c r="J187" s="19">
        <v>15.07</v>
      </c>
      <c r="K187" s="19">
        <v>11</v>
      </c>
      <c r="L187" s="19">
        <v>15.07</v>
      </c>
      <c r="M187" s="19">
        <v>300</v>
      </c>
    </row>
    <row r="188" s="17" customFormat="1" spans="1:13">
      <c r="A188" s="19" t="s">
        <v>56</v>
      </c>
      <c r="B188" s="19" t="s">
        <v>206</v>
      </c>
      <c r="C188" s="19" t="s">
        <v>207</v>
      </c>
      <c r="D188" s="19">
        <v>158.05</v>
      </c>
      <c r="E188" s="19">
        <v>1978</v>
      </c>
      <c r="F188" s="19">
        <v>46</v>
      </c>
      <c r="G188" s="19">
        <v>0</v>
      </c>
      <c r="H188" s="19">
        <v>0</v>
      </c>
      <c r="I188" s="19">
        <v>12</v>
      </c>
      <c r="J188" s="19">
        <v>13.17</v>
      </c>
      <c r="K188" s="19">
        <v>12</v>
      </c>
      <c r="L188" s="19">
        <v>13.17</v>
      </c>
      <c r="M188" s="19">
        <v>0</v>
      </c>
    </row>
    <row r="189" s="17" customFormat="1" spans="1:13">
      <c r="A189" s="19" t="s">
        <v>57</v>
      </c>
      <c r="B189" s="19" t="s">
        <v>206</v>
      </c>
      <c r="C189" s="19" t="s">
        <v>207</v>
      </c>
      <c r="D189" s="19">
        <v>290.41</v>
      </c>
      <c r="E189" s="19">
        <v>3354</v>
      </c>
      <c r="F189" s="19">
        <v>50</v>
      </c>
      <c r="G189" s="19">
        <v>3</v>
      </c>
      <c r="H189" s="19">
        <v>96.8</v>
      </c>
      <c r="I189" s="19">
        <v>14</v>
      </c>
      <c r="J189" s="19">
        <v>20.74</v>
      </c>
      <c r="K189" s="19">
        <v>16</v>
      </c>
      <c r="L189" s="19">
        <v>18.15</v>
      </c>
      <c r="M189" s="19">
        <v>99.9</v>
      </c>
    </row>
    <row r="190" s="17" customFormat="1" spans="1:13">
      <c r="A190" s="19" t="s">
        <v>58</v>
      </c>
      <c r="B190" s="19" t="s">
        <v>206</v>
      </c>
      <c r="C190" s="19" t="s">
        <v>207</v>
      </c>
      <c r="D190" s="19">
        <v>311.27</v>
      </c>
      <c r="E190" s="19">
        <v>4265</v>
      </c>
      <c r="F190" s="19">
        <v>60</v>
      </c>
      <c r="G190" s="19">
        <v>2</v>
      </c>
      <c r="H190" s="19">
        <v>155.64</v>
      </c>
      <c r="I190" s="19">
        <v>15</v>
      </c>
      <c r="J190" s="19">
        <v>20.75</v>
      </c>
      <c r="K190" s="19">
        <v>16</v>
      </c>
      <c r="L190" s="19">
        <v>19.45</v>
      </c>
      <c r="M190" s="19">
        <v>372</v>
      </c>
    </row>
    <row r="191" s="17" customFormat="1" spans="1:13">
      <c r="A191" s="19" t="s">
        <v>59</v>
      </c>
      <c r="B191" s="19" t="s">
        <v>206</v>
      </c>
      <c r="C191" s="19" t="s">
        <v>207</v>
      </c>
      <c r="D191" s="19">
        <v>553.04</v>
      </c>
      <c r="E191" s="19">
        <v>5964</v>
      </c>
      <c r="F191" s="19">
        <v>114</v>
      </c>
      <c r="G191" s="19">
        <v>2</v>
      </c>
      <c r="H191" s="19">
        <v>276.52</v>
      </c>
      <c r="I191" s="19">
        <v>26</v>
      </c>
      <c r="J191" s="19">
        <v>21.27</v>
      </c>
      <c r="K191" s="19">
        <v>32</v>
      </c>
      <c r="L191" s="19">
        <v>17.28</v>
      </c>
      <c r="M191" s="19">
        <v>235.9</v>
      </c>
    </row>
    <row r="192" s="17" customFormat="1" spans="1:13">
      <c r="A192" s="19" t="s">
        <v>60</v>
      </c>
      <c r="B192" s="19" t="s">
        <v>206</v>
      </c>
      <c r="C192" s="19" t="s">
        <v>207</v>
      </c>
      <c r="D192" s="19">
        <v>163.74</v>
      </c>
      <c r="E192" s="19">
        <v>2421</v>
      </c>
      <c r="F192" s="19">
        <v>45</v>
      </c>
      <c r="G192" s="19">
        <v>1</v>
      </c>
      <c r="H192" s="19">
        <v>163.74</v>
      </c>
      <c r="I192" s="19">
        <v>12</v>
      </c>
      <c r="J192" s="19">
        <v>13.65</v>
      </c>
      <c r="K192" s="19">
        <v>11</v>
      </c>
      <c r="L192" s="19">
        <v>14.89</v>
      </c>
      <c r="M192" s="19">
        <v>90</v>
      </c>
    </row>
    <row r="193" s="17" customFormat="1" spans="1:13">
      <c r="A193" s="19" t="s">
        <v>61</v>
      </c>
      <c r="B193" s="19" t="s">
        <v>206</v>
      </c>
      <c r="C193" s="19" t="s">
        <v>207</v>
      </c>
      <c r="D193" s="19">
        <v>123.8</v>
      </c>
      <c r="E193" s="19">
        <v>1759</v>
      </c>
      <c r="F193" s="19">
        <v>44</v>
      </c>
      <c r="G193" s="19">
        <v>1</v>
      </c>
      <c r="H193" s="19">
        <v>123.8</v>
      </c>
      <c r="I193" s="19">
        <v>7</v>
      </c>
      <c r="J193" s="19">
        <v>17.69</v>
      </c>
      <c r="K193" s="19">
        <v>7</v>
      </c>
      <c r="L193" s="19">
        <v>17.69</v>
      </c>
      <c r="M193" s="19">
        <v>54</v>
      </c>
    </row>
    <row r="194" s="17" customFormat="1" spans="1:13">
      <c r="A194" s="19" t="s">
        <v>62</v>
      </c>
      <c r="B194" s="19" t="s">
        <v>206</v>
      </c>
      <c r="C194" s="19" t="s">
        <v>207</v>
      </c>
      <c r="D194" s="19">
        <v>144.35</v>
      </c>
      <c r="E194" s="19">
        <v>1684</v>
      </c>
      <c r="F194" s="19">
        <v>32</v>
      </c>
      <c r="G194" s="19">
        <v>0</v>
      </c>
      <c r="H194" s="19">
        <v>0</v>
      </c>
      <c r="I194" s="19">
        <v>10</v>
      </c>
      <c r="J194" s="19">
        <v>14.44</v>
      </c>
      <c r="K194" s="19">
        <v>11</v>
      </c>
      <c r="L194" s="19">
        <v>13.12</v>
      </c>
      <c r="M194" s="19">
        <v>0</v>
      </c>
    </row>
    <row r="195" s="17" customFormat="1" spans="1:13">
      <c r="A195" s="19" t="s">
        <v>63</v>
      </c>
      <c r="B195" s="19" t="s">
        <v>206</v>
      </c>
      <c r="C195" s="19" t="s">
        <v>207</v>
      </c>
      <c r="D195" s="19">
        <v>71.28</v>
      </c>
      <c r="E195" s="19">
        <v>798</v>
      </c>
      <c r="F195" s="19">
        <v>15</v>
      </c>
      <c r="G195" s="19">
        <v>0</v>
      </c>
      <c r="H195" s="19">
        <v>0</v>
      </c>
      <c r="I195" s="19">
        <v>4</v>
      </c>
      <c r="J195" s="19">
        <v>17.82</v>
      </c>
      <c r="K195" s="19">
        <v>4</v>
      </c>
      <c r="L195" s="19">
        <v>17.82</v>
      </c>
      <c r="M195" s="19">
        <v>0</v>
      </c>
    </row>
    <row r="196" s="17" customFormat="1" spans="1:13">
      <c r="A196" s="19" t="s">
        <v>64</v>
      </c>
      <c r="B196" s="19" t="s">
        <v>206</v>
      </c>
      <c r="C196" s="19" t="s">
        <v>207</v>
      </c>
      <c r="D196" s="19">
        <v>54.07</v>
      </c>
      <c r="E196" s="19">
        <v>727</v>
      </c>
      <c r="F196" s="19">
        <v>17</v>
      </c>
      <c r="G196" s="19">
        <v>0</v>
      </c>
      <c r="H196" s="19">
        <v>0</v>
      </c>
      <c r="I196" s="19">
        <v>3</v>
      </c>
      <c r="J196" s="19">
        <v>18.02</v>
      </c>
      <c r="K196" s="19">
        <v>3</v>
      </c>
      <c r="L196" s="19">
        <v>18.02</v>
      </c>
      <c r="M196" s="19">
        <v>0</v>
      </c>
    </row>
    <row r="197" s="17" customFormat="1" spans="1:13">
      <c r="A197" s="19" t="s">
        <v>65</v>
      </c>
      <c r="B197" s="19" t="s">
        <v>206</v>
      </c>
      <c r="C197" s="19" t="s">
        <v>207</v>
      </c>
      <c r="D197" s="19">
        <v>59.04</v>
      </c>
      <c r="E197" s="19">
        <v>670</v>
      </c>
      <c r="F197" s="19">
        <v>6</v>
      </c>
      <c r="G197" s="19">
        <v>0</v>
      </c>
      <c r="H197" s="19">
        <v>0</v>
      </c>
      <c r="I197" s="19">
        <v>1</v>
      </c>
      <c r="J197" s="19">
        <v>59.04</v>
      </c>
      <c r="K197" s="19">
        <v>1</v>
      </c>
      <c r="L197" s="19">
        <v>59.04</v>
      </c>
      <c r="M197" s="19">
        <v>0</v>
      </c>
    </row>
    <row r="198" s="17" customFormat="1" spans="1:13">
      <c r="A198" s="19" t="s">
        <v>66</v>
      </c>
      <c r="B198" s="19" t="s">
        <v>206</v>
      </c>
      <c r="C198" s="19" t="s">
        <v>207</v>
      </c>
      <c r="D198" s="19">
        <v>54.09</v>
      </c>
      <c r="E198" s="19">
        <v>744</v>
      </c>
      <c r="F198" s="19">
        <v>10</v>
      </c>
      <c r="G198" s="19">
        <v>0</v>
      </c>
      <c r="H198" s="19">
        <v>0</v>
      </c>
      <c r="I198" s="19">
        <v>1</v>
      </c>
      <c r="J198" s="19">
        <v>54.09</v>
      </c>
      <c r="K198" s="19">
        <v>2</v>
      </c>
      <c r="L198" s="19">
        <v>27.05</v>
      </c>
      <c r="M198" s="19">
        <v>0</v>
      </c>
    </row>
    <row r="199" s="17" customFormat="1" spans="1:13">
      <c r="A199" s="19" t="s">
        <v>67</v>
      </c>
      <c r="B199" s="19" t="s">
        <v>206</v>
      </c>
      <c r="C199" s="19" t="s">
        <v>207</v>
      </c>
      <c r="D199" s="19">
        <v>63.09</v>
      </c>
      <c r="E199" s="19">
        <v>877</v>
      </c>
      <c r="F199" s="19">
        <v>25</v>
      </c>
      <c r="G199" s="19">
        <v>0</v>
      </c>
      <c r="H199" s="19">
        <v>0</v>
      </c>
      <c r="I199" s="19">
        <v>5</v>
      </c>
      <c r="J199" s="19">
        <v>12.62</v>
      </c>
      <c r="K199" s="19">
        <v>6</v>
      </c>
      <c r="L199" s="19">
        <v>10.52</v>
      </c>
      <c r="M199" s="19">
        <v>0</v>
      </c>
    </row>
    <row r="200" s="17" customFormat="1" spans="1:13">
      <c r="A200" s="19" t="s">
        <v>68</v>
      </c>
      <c r="B200" s="19" t="s">
        <v>206</v>
      </c>
      <c r="C200" s="19" t="s">
        <v>207</v>
      </c>
      <c r="D200" s="19">
        <v>184.42</v>
      </c>
      <c r="E200" s="19">
        <v>2043</v>
      </c>
      <c r="F200" s="19">
        <v>33</v>
      </c>
      <c r="G200" s="19">
        <v>2</v>
      </c>
      <c r="H200" s="19">
        <v>92.21</v>
      </c>
      <c r="I200" s="19">
        <v>10</v>
      </c>
      <c r="J200" s="19">
        <v>18.44</v>
      </c>
      <c r="K200" s="19">
        <v>10</v>
      </c>
      <c r="L200" s="19">
        <v>18.44</v>
      </c>
      <c r="M200" s="19">
        <v>45.8</v>
      </c>
    </row>
    <row r="201" s="17" customFormat="1" spans="1:13">
      <c r="A201" s="19" t="s">
        <v>69</v>
      </c>
      <c r="B201" s="19" t="s">
        <v>206</v>
      </c>
      <c r="C201" s="19" t="s">
        <v>207</v>
      </c>
      <c r="D201" s="19">
        <v>241</v>
      </c>
      <c r="E201" s="19">
        <v>2564</v>
      </c>
      <c r="F201" s="19">
        <v>57</v>
      </c>
      <c r="G201" s="19">
        <v>0</v>
      </c>
      <c r="H201" s="19">
        <v>0</v>
      </c>
      <c r="I201" s="19">
        <v>13</v>
      </c>
      <c r="J201" s="19">
        <v>18.54</v>
      </c>
      <c r="K201" s="19">
        <v>14</v>
      </c>
      <c r="L201" s="19">
        <v>17.21</v>
      </c>
      <c r="M201" s="19">
        <v>0</v>
      </c>
    </row>
    <row r="202" s="17" customFormat="1" spans="1:13">
      <c r="A202" s="19" t="s">
        <v>70</v>
      </c>
      <c r="B202" s="19" t="s">
        <v>206</v>
      </c>
      <c r="C202" s="19" t="s">
        <v>207</v>
      </c>
      <c r="D202" s="19">
        <v>191.73</v>
      </c>
      <c r="E202" s="19">
        <v>2277</v>
      </c>
      <c r="F202" s="19">
        <v>57</v>
      </c>
      <c r="G202" s="19">
        <v>2</v>
      </c>
      <c r="H202" s="19">
        <v>95.87</v>
      </c>
      <c r="I202" s="19">
        <v>19</v>
      </c>
      <c r="J202" s="19">
        <v>10.09</v>
      </c>
      <c r="K202" s="19">
        <v>21</v>
      </c>
      <c r="L202" s="19">
        <v>9.13</v>
      </c>
      <c r="M202" s="19">
        <v>35.9</v>
      </c>
    </row>
    <row r="203" s="17" customFormat="1" spans="1:13">
      <c r="A203" s="19" t="s">
        <v>71</v>
      </c>
      <c r="B203" s="19" t="s">
        <v>206</v>
      </c>
      <c r="C203" s="19" t="s">
        <v>207</v>
      </c>
      <c r="D203" s="19">
        <v>215.09</v>
      </c>
      <c r="E203" s="19">
        <v>2344</v>
      </c>
      <c r="F203" s="19">
        <v>36</v>
      </c>
      <c r="G203" s="19">
        <v>2</v>
      </c>
      <c r="H203" s="19">
        <v>107.55</v>
      </c>
      <c r="I203" s="19">
        <v>16</v>
      </c>
      <c r="J203" s="19">
        <v>13.44</v>
      </c>
      <c r="K203" s="19">
        <v>17</v>
      </c>
      <c r="L203" s="19">
        <v>12.65</v>
      </c>
      <c r="M203" s="19">
        <v>213.9</v>
      </c>
    </row>
    <row r="204" s="17" customFormat="1" spans="1:13">
      <c r="A204" s="19" t="s">
        <v>72</v>
      </c>
      <c r="B204" s="19" t="s">
        <v>206</v>
      </c>
      <c r="C204" s="19" t="s">
        <v>207</v>
      </c>
      <c r="D204" s="19">
        <v>108.51</v>
      </c>
      <c r="E204" s="19">
        <v>1496</v>
      </c>
      <c r="F204" s="19">
        <v>35</v>
      </c>
      <c r="G204" s="19">
        <v>1</v>
      </c>
      <c r="H204" s="19">
        <v>108.51</v>
      </c>
      <c r="I204" s="19">
        <v>8</v>
      </c>
      <c r="J204" s="19">
        <v>13.56</v>
      </c>
      <c r="K204" s="19">
        <v>10</v>
      </c>
      <c r="L204" s="19">
        <v>10.85</v>
      </c>
      <c r="M204" s="19">
        <v>30</v>
      </c>
    </row>
    <row r="205" s="17" customFormat="1" spans="1:13">
      <c r="A205" s="19" t="s">
        <v>73</v>
      </c>
      <c r="B205" s="19" t="s">
        <v>206</v>
      </c>
      <c r="C205" s="19" t="s">
        <v>207</v>
      </c>
      <c r="D205" s="19">
        <v>213.63</v>
      </c>
      <c r="E205" s="19">
        <v>1880</v>
      </c>
      <c r="F205" s="19">
        <v>55</v>
      </c>
      <c r="G205" s="19">
        <v>3</v>
      </c>
      <c r="H205" s="19">
        <v>71.21</v>
      </c>
      <c r="I205" s="19">
        <v>11</v>
      </c>
      <c r="J205" s="19">
        <v>19.42</v>
      </c>
      <c r="K205" s="19">
        <v>14</v>
      </c>
      <c r="L205" s="19">
        <v>15.26</v>
      </c>
      <c r="M205" s="19">
        <v>167.9</v>
      </c>
    </row>
    <row r="206" s="17" customFormat="1" spans="1:13">
      <c r="A206" s="19" t="s">
        <v>74</v>
      </c>
      <c r="B206" s="19" t="s">
        <v>206</v>
      </c>
      <c r="C206" s="19" t="s">
        <v>207</v>
      </c>
      <c r="D206" s="19">
        <v>578.18</v>
      </c>
      <c r="E206" s="19">
        <v>7971</v>
      </c>
      <c r="F206" s="19">
        <v>159</v>
      </c>
      <c r="G206" s="19">
        <v>0</v>
      </c>
      <c r="H206" s="19">
        <v>0</v>
      </c>
      <c r="I206" s="19">
        <v>7</v>
      </c>
      <c r="J206" s="19">
        <v>82.6</v>
      </c>
      <c r="K206" s="19">
        <v>10</v>
      </c>
      <c r="L206" s="19">
        <v>57.82</v>
      </c>
      <c r="M206" s="19">
        <v>9.9</v>
      </c>
    </row>
    <row r="207" s="17" customFormat="1" spans="1:13">
      <c r="A207" s="19" t="s">
        <v>75</v>
      </c>
      <c r="B207" s="19" t="s">
        <v>206</v>
      </c>
      <c r="C207" s="19" t="s">
        <v>207</v>
      </c>
      <c r="D207" s="19">
        <v>335.47</v>
      </c>
      <c r="E207" s="19">
        <v>4425</v>
      </c>
      <c r="F207" s="19">
        <v>105</v>
      </c>
      <c r="G207" s="19">
        <v>0</v>
      </c>
      <c r="H207" s="19">
        <v>0</v>
      </c>
      <c r="I207" s="19">
        <v>22</v>
      </c>
      <c r="J207" s="19">
        <v>15.25</v>
      </c>
      <c r="K207" s="19">
        <v>29</v>
      </c>
      <c r="L207" s="19">
        <v>11.57</v>
      </c>
      <c r="M207" s="19">
        <v>0</v>
      </c>
    </row>
    <row r="208" s="17" customFormat="1" spans="1:13">
      <c r="A208" s="19" t="s">
        <v>76</v>
      </c>
      <c r="B208" s="19" t="s">
        <v>206</v>
      </c>
      <c r="C208" s="19" t="s">
        <v>207</v>
      </c>
      <c r="D208" s="19">
        <v>273.78</v>
      </c>
      <c r="E208" s="19">
        <v>3969</v>
      </c>
      <c r="F208" s="19">
        <v>87</v>
      </c>
      <c r="G208" s="19">
        <v>1</v>
      </c>
      <c r="H208" s="19">
        <v>273.78</v>
      </c>
      <c r="I208" s="19">
        <v>24</v>
      </c>
      <c r="J208" s="19">
        <v>11.41</v>
      </c>
      <c r="K208" s="19">
        <v>23</v>
      </c>
      <c r="L208" s="19">
        <v>11.9</v>
      </c>
      <c r="M208" s="19">
        <v>39.8</v>
      </c>
    </row>
    <row r="209" s="17" customFormat="1" spans="1:13">
      <c r="A209" s="19" t="s">
        <v>77</v>
      </c>
      <c r="B209" s="19" t="s">
        <v>206</v>
      </c>
      <c r="C209" s="19" t="s">
        <v>207</v>
      </c>
      <c r="D209" s="19">
        <v>158.5</v>
      </c>
      <c r="E209" s="19">
        <v>2087</v>
      </c>
      <c r="F209" s="19">
        <v>39</v>
      </c>
      <c r="G209" s="19">
        <v>1</v>
      </c>
      <c r="H209" s="19">
        <v>158.5</v>
      </c>
      <c r="I209" s="19">
        <v>8</v>
      </c>
      <c r="J209" s="19">
        <v>19.81</v>
      </c>
      <c r="K209" s="19">
        <v>10</v>
      </c>
      <c r="L209" s="19">
        <v>15.85</v>
      </c>
      <c r="M209" s="19">
        <v>12</v>
      </c>
    </row>
    <row r="210" s="17" customFormat="1" spans="1:13">
      <c r="A210" s="19" t="s">
        <v>78</v>
      </c>
      <c r="B210" s="19" t="s">
        <v>206</v>
      </c>
      <c r="C210" s="19" t="s">
        <v>207</v>
      </c>
      <c r="D210" s="19">
        <v>161.55</v>
      </c>
      <c r="E210" s="19">
        <v>1789</v>
      </c>
      <c r="F210" s="19">
        <v>39</v>
      </c>
      <c r="G210" s="19">
        <v>0</v>
      </c>
      <c r="H210" s="19">
        <v>0</v>
      </c>
      <c r="I210" s="19">
        <v>10</v>
      </c>
      <c r="J210" s="19">
        <v>16.16</v>
      </c>
      <c r="K210" s="19">
        <v>10</v>
      </c>
      <c r="L210" s="19">
        <v>16.16</v>
      </c>
      <c r="M210" s="19">
        <v>0</v>
      </c>
    </row>
    <row r="211" s="17" customFormat="1" spans="1:13">
      <c r="A211" s="19" t="s">
        <v>79</v>
      </c>
      <c r="B211" s="19" t="s">
        <v>206</v>
      </c>
      <c r="C211" s="19" t="s">
        <v>207</v>
      </c>
      <c r="D211" s="19">
        <v>230.71</v>
      </c>
      <c r="E211" s="19">
        <v>2269</v>
      </c>
      <c r="F211" s="19">
        <v>53</v>
      </c>
      <c r="G211" s="19">
        <v>1</v>
      </c>
      <c r="H211" s="19">
        <v>230.71</v>
      </c>
      <c r="I211" s="19">
        <v>14</v>
      </c>
      <c r="J211" s="19">
        <v>16.48</v>
      </c>
      <c r="K211" s="19">
        <v>15</v>
      </c>
      <c r="L211" s="19">
        <v>15.38</v>
      </c>
      <c r="M211" s="19">
        <v>30</v>
      </c>
    </row>
    <row r="212" s="17" customFormat="1" spans="1:13">
      <c r="A212" s="19" t="s">
        <v>80</v>
      </c>
      <c r="B212" s="19" t="s">
        <v>206</v>
      </c>
      <c r="C212" s="19" t="s">
        <v>207</v>
      </c>
      <c r="D212" s="19">
        <v>456.78</v>
      </c>
      <c r="E212" s="19">
        <v>5155</v>
      </c>
      <c r="F212" s="19">
        <v>81</v>
      </c>
      <c r="G212" s="19">
        <v>0</v>
      </c>
      <c r="H212" s="19">
        <v>0</v>
      </c>
      <c r="I212" s="19">
        <v>16</v>
      </c>
      <c r="J212" s="19">
        <v>28.55</v>
      </c>
      <c r="K212" s="19">
        <v>16</v>
      </c>
      <c r="L212" s="19">
        <v>28.55</v>
      </c>
      <c r="M212" s="19">
        <v>0</v>
      </c>
    </row>
    <row r="213" s="17" customFormat="1" spans="1:13">
      <c r="A213" s="19" t="s">
        <v>81</v>
      </c>
      <c r="B213" s="19" t="s">
        <v>206</v>
      </c>
      <c r="C213" s="19" t="s">
        <v>207</v>
      </c>
      <c r="D213" s="19">
        <v>417.09</v>
      </c>
      <c r="E213" s="19">
        <v>4849</v>
      </c>
      <c r="F213" s="19">
        <v>107</v>
      </c>
      <c r="G213" s="19">
        <v>0</v>
      </c>
      <c r="H213" s="19">
        <v>0</v>
      </c>
      <c r="I213" s="19">
        <v>26</v>
      </c>
      <c r="J213" s="19">
        <v>16.04</v>
      </c>
      <c r="K213" s="19">
        <v>27</v>
      </c>
      <c r="L213" s="19">
        <v>15.45</v>
      </c>
      <c r="M213" s="19">
        <v>0</v>
      </c>
    </row>
    <row r="214" s="17" customFormat="1" spans="1:13">
      <c r="A214" s="19" t="s">
        <v>82</v>
      </c>
      <c r="B214" s="19" t="s">
        <v>206</v>
      </c>
      <c r="C214" s="19" t="s">
        <v>207</v>
      </c>
      <c r="D214" s="19">
        <v>591.9</v>
      </c>
      <c r="E214" s="19">
        <v>6763</v>
      </c>
      <c r="F214" s="19">
        <v>121</v>
      </c>
      <c r="G214" s="19">
        <v>2</v>
      </c>
      <c r="H214" s="19">
        <v>295.95</v>
      </c>
      <c r="I214" s="19">
        <v>29</v>
      </c>
      <c r="J214" s="19">
        <v>20.41</v>
      </c>
      <c r="K214" s="19">
        <v>32</v>
      </c>
      <c r="L214" s="19">
        <v>18.5</v>
      </c>
      <c r="M214" s="19">
        <v>48</v>
      </c>
    </row>
    <row r="215" s="17" customFormat="1" spans="1:13">
      <c r="A215" s="19" t="s">
        <v>83</v>
      </c>
      <c r="B215" s="19" t="s">
        <v>206</v>
      </c>
      <c r="C215" s="19" t="s">
        <v>207</v>
      </c>
      <c r="D215" s="19">
        <v>909.49</v>
      </c>
      <c r="E215" s="19">
        <v>11346</v>
      </c>
      <c r="F215" s="19">
        <v>182</v>
      </c>
      <c r="G215" s="19">
        <v>3</v>
      </c>
      <c r="H215" s="19">
        <v>303.16</v>
      </c>
      <c r="I215" s="19">
        <v>39</v>
      </c>
      <c r="J215" s="19">
        <v>23.32</v>
      </c>
      <c r="K215" s="19">
        <v>45</v>
      </c>
      <c r="L215" s="19">
        <v>20.21</v>
      </c>
      <c r="M215" s="19">
        <v>179.9</v>
      </c>
    </row>
    <row r="216" s="17" customFormat="1" spans="1:13">
      <c r="A216" s="19" t="s">
        <v>84</v>
      </c>
      <c r="B216" s="19" t="s">
        <v>206</v>
      </c>
      <c r="C216" s="19" t="s">
        <v>207</v>
      </c>
      <c r="D216" s="19">
        <v>885.66</v>
      </c>
      <c r="E216" s="19">
        <v>10893</v>
      </c>
      <c r="F216" s="19">
        <v>207</v>
      </c>
      <c r="G216" s="19">
        <v>3</v>
      </c>
      <c r="H216" s="19">
        <v>295.22</v>
      </c>
      <c r="I216" s="19">
        <v>42</v>
      </c>
      <c r="J216" s="19">
        <v>21.09</v>
      </c>
      <c r="K216" s="19">
        <v>46</v>
      </c>
      <c r="L216" s="19">
        <v>19.25</v>
      </c>
      <c r="M216" s="19">
        <v>51.9</v>
      </c>
    </row>
    <row r="217" s="17" customFormat="1" spans="1:13">
      <c r="A217" s="19" t="s">
        <v>85</v>
      </c>
      <c r="B217" s="19" t="s">
        <v>206</v>
      </c>
      <c r="C217" s="19" t="s">
        <v>207</v>
      </c>
      <c r="D217" s="19">
        <v>626.21</v>
      </c>
      <c r="E217" s="19">
        <v>8658</v>
      </c>
      <c r="F217" s="19">
        <v>184</v>
      </c>
      <c r="G217" s="19">
        <v>3</v>
      </c>
      <c r="H217" s="19">
        <v>208.74</v>
      </c>
      <c r="I217" s="19">
        <v>41</v>
      </c>
      <c r="J217" s="19">
        <v>15.27</v>
      </c>
      <c r="K217" s="19">
        <v>45</v>
      </c>
      <c r="L217" s="19">
        <v>13.92</v>
      </c>
      <c r="M217" s="19">
        <v>392</v>
      </c>
    </row>
    <row r="218" s="17" customFormat="1" spans="1:13">
      <c r="A218" s="19" t="s">
        <v>86</v>
      </c>
      <c r="B218" s="19" t="s">
        <v>206</v>
      </c>
      <c r="C218" s="19" t="s">
        <v>207</v>
      </c>
      <c r="D218" s="19">
        <v>332.36</v>
      </c>
      <c r="E218" s="19">
        <v>4976</v>
      </c>
      <c r="F218" s="19">
        <v>89</v>
      </c>
      <c r="G218" s="19">
        <v>2</v>
      </c>
      <c r="H218" s="19">
        <v>166.18</v>
      </c>
      <c r="I218" s="19">
        <v>30</v>
      </c>
      <c r="J218" s="19">
        <v>11.08</v>
      </c>
      <c r="K218" s="19">
        <v>32</v>
      </c>
      <c r="L218" s="19">
        <v>10.39</v>
      </c>
      <c r="M218" s="19">
        <v>72</v>
      </c>
    </row>
    <row r="219" s="17" customFormat="1" spans="1:13">
      <c r="A219" s="19" t="s">
        <v>87</v>
      </c>
      <c r="B219" s="19" t="s">
        <v>206</v>
      </c>
      <c r="C219" s="19" t="s">
        <v>207</v>
      </c>
      <c r="D219" s="19">
        <v>163.27</v>
      </c>
      <c r="E219" s="19">
        <v>2098</v>
      </c>
      <c r="F219" s="19">
        <v>40</v>
      </c>
      <c r="G219" s="19">
        <v>0</v>
      </c>
      <c r="H219" s="19">
        <v>0</v>
      </c>
      <c r="I219" s="19">
        <v>11</v>
      </c>
      <c r="J219" s="19">
        <v>14.84</v>
      </c>
      <c r="K219" s="19">
        <v>13</v>
      </c>
      <c r="L219" s="19">
        <v>12.56</v>
      </c>
      <c r="M219" s="19">
        <v>0</v>
      </c>
    </row>
    <row r="220" s="17" customFormat="1" spans="1:13">
      <c r="A220" s="19" t="s">
        <v>88</v>
      </c>
      <c r="B220" s="19" t="s">
        <v>206</v>
      </c>
      <c r="C220" s="19" t="s">
        <v>207</v>
      </c>
      <c r="D220" s="19">
        <v>75.99</v>
      </c>
      <c r="E220" s="19">
        <v>1025</v>
      </c>
      <c r="F220" s="19">
        <v>28</v>
      </c>
      <c r="G220" s="19">
        <v>0</v>
      </c>
      <c r="H220" s="19">
        <v>0</v>
      </c>
      <c r="I220" s="19">
        <v>8</v>
      </c>
      <c r="J220" s="19">
        <v>9.5</v>
      </c>
      <c r="K220" s="19">
        <v>8</v>
      </c>
      <c r="L220" s="19">
        <v>9.5</v>
      </c>
      <c r="M220" s="19">
        <v>0</v>
      </c>
    </row>
    <row r="221" s="17" customFormat="1" spans="1:13">
      <c r="A221" s="19" t="s">
        <v>89</v>
      </c>
      <c r="B221" s="19" t="s">
        <v>206</v>
      </c>
      <c r="C221" s="19" t="s">
        <v>207</v>
      </c>
      <c r="D221" s="19">
        <v>62.4</v>
      </c>
      <c r="E221" s="19">
        <v>752</v>
      </c>
      <c r="F221" s="19">
        <v>25</v>
      </c>
      <c r="G221" s="19">
        <v>0</v>
      </c>
      <c r="H221" s="19">
        <v>0</v>
      </c>
      <c r="I221" s="19">
        <v>5</v>
      </c>
      <c r="J221" s="19">
        <v>12.48</v>
      </c>
      <c r="K221" s="19">
        <v>5</v>
      </c>
      <c r="L221" s="19">
        <v>12.48</v>
      </c>
      <c r="M221" s="19">
        <v>0</v>
      </c>
    </row>
    <row r="222" s="17" customFormat="1" spans="1:13">
      <c r="A222" s="19" t="s">
        <v>90</v>
      </c>
      <c r="B222" s="19" t="s">
        <v>206</v>
      </c>
      <c r="C222" s="19" t="s">
        <v>207</v>
      </c>
      <c r="D222" s="19">
        <v>110.48</v>
      </c>
      <c r="E222" s="19">
        <v>1261</v>
      </c>
      <c r="F222" s="19">
        <v>34</v>
      </c>
      <c r="G222" s="19">
        <v>0</v>
      </c>
      <c r="H222" s="19">
        <v>0</v>
      </c>
      <c r="I222" s="19">
        <v>6</v>
      </c>
      <c r="J222" s="19">
        <v>18.41</v>
      </c>
      <c r="K222" s="19">
        <v>6</v>
      </c>
      <c r="L222" s="19">
        <v>18.41</v>
      </c>
      <c r="M222" s="19">
        <v>0</v>
      </c>
    </row>
    <row r="223" s="17" customFormat="1" spans="1:13">
      <c r="A223" s="19" t="s">
        <v>91</v>
      </c>
      <c r="B223" s="19" t="s">
        <v>206</v>
      </c>
      <c r="C223" s="19" t="s">
        <v>207</v>
      </c>
      <c r="D223" s="19">
        <v>198.44</v>
      </c>
      <c r="E223" s="19">
        <v>2583</v>
      </c>
      <c r="F223" s="19">
        <v>41</v>
      </c>
      <c r="G223" s="19">
        <v>1</v>
      </c>
      <c r="H223" s="19">
        <v>198.44</v>
      </c>
      <c r="I223" s="19">
        <v>8</v>
      </c>
      <c r="J223" s="19">
        <v>24.81</v>
      </c>
      <c r="K223" s="19">
        <v>8</v>
      </c>
      <c r="L223" s="19">
        <v>24.81</v>
      </c>
      <c r="M223" s="19">
        <v>30</v>
      </c>
    </row>
    <row r="224" s="17" customFormat="1" spans="1:13">
      <c r="A224" s="19" t="s">
        <v>92</v>
      </c>
      <c r="B224" s="19" t="s">
        <v>206</v>
      </c>
      <c r="C224" s="19" t="s">
        <v>207</v>
      </c>
      <c r="D224" s="19">
        <v>223.35</v>
      </c>
      <c r="E224" s="19">
        <v>3929</v>
      </c>
      <c r="F224" s="19">
        <v>66</v>
      </c>
      <c r="G224" s="19">
        <v>0</v>
      </c>
      <c r="H224" s="19">
        <v>0</v>
      </c>
      <c r="I224" s="19">
        <v>7</v>
      </c>
      <c r="J224" s="19">
        <v>31.91</v>
      </c>
      <c r="K224" s="19">
        <v>10</v>
      </c>
      <c r="L224" s="19">
        <v>22.34</v>
      </c>
      <c r="M224" s="19">
        <v>0</v>
      </c>
    </row>
    <row r="225" s="17" customFormat="1" spans="1:13">
      <c r="A225" s="19" t="s">
        <v>93</v>
      </c>
      <c r="B225" s="19" t="s">
        <v>206</v>
      </c>
      <c r="C225" s="19" t="s">
        <v>207</v>
      </c>
      <c r="D225" s="19">
        <v>200.31</v>
      </c>
      <c r="E225" s="19">
        <v>3781</v>
      </c>
      <c r="F225" s="19">
        <v>56</v>
      </c>
      <c r="G225" s="19">
        <v>0</v>
      </c>
      <c r="H225" s="19">
        <v>0</v>
      </c>
      <c r="I225" s="19">
        <v>5</v>
      </c>
      <c r="J225" s="19">
        <v>40.06</v>
      </c>
      <c r="K225" s="19">
        <v>6</v>
      </c>
      <c r="L225" s="19">
        <v>33.39</v>
      </c>
      <c r="M225" s="19">
        <v>0</v>
      </c>
    </row>
    <row r="226" s="17" customFormat="1" spans="1:13">
      <c r="A226" s="19" t="s">
        <v>94</v>
      </c>
      <c r="B226" s="19" t="s">
        <v>206</v>
      </c>
      <c r="C226" s="19" t="s">
        <v>207</v>
      </c>
      <c r="D226" s="19">
        <v>128.13</v>
      </c>
      <c r="E226" s="19">
        <v>2086</v>
      </c>
      <c r="F226" s="19">
        <v>33</v>
      </c>
      <c r="G226" s="19">
        <v>1</v>
      </c>
      <c r="H226" s="19">
        <v>128.13</v>
      </c>
      <c r="I226" s="19">
        <v>9</v>
      </c>
      <c r="J226" s="19">
        <v>14.24</v>
      </c>
      <c r="K226" s="19">
        <v>12</v>
      </c>
      <c r="L226" s="19">
        <v>10.68</v>
      </c>
      <c r="M226" s="19">
        <v>6</v>
      </c>
    </row>
    <row r="227" s="17" customFormat="1" spans="1:13">
      <c r="A227" s="19" t="s">
        <v>95</v>
      </c>
      <c r="B227" s="19" t="s">
        <v>206</v>
      </c>
      <c r="C227" s="19" t="s">
        <v>207</v>
      </c>
      <c r="D227" s="19">
        <v>81.83</v>
      </c>
      <c r="E227" s="19">
        <v>1392</v>
      </c>
      <c r="F227" s="19">
        <v>19</v>
      </c>
      <c r="G227" s="19">
        <v>0</v>
      </c>
      <c r="H227" s="19">
        <v>0</v>
      </c>
      <c r="I227" s="19">
        <v>9</v>
      </c>
      <c r="J227" s="19">
        <v>9.09</v>
      </c>
      <c r="K227" s="19">
        <v>10</v>
      </c>
      <c r="L227" s="19">
        <v>8.18</v>
      </c>
      <c r="M227" s="19">
        <v>0</v>
      </c>
    </row>
    <row r="228" s="17" customFormat="1" spans="1:13">
      <c r="A228" s="19" t="s">
        <v>96</v>
      </c>
      <c r="B228" s="19" t="s">
        <v>206</v>
      </c>
      <c r="C228" s="19" t="s">
        <v>207</v>
      </c>
      <c r="D228" s="19">
        <v>83.13</v>
      </c>
      <c r="E228" s="19">
        <v>1239</v>
      </c>
      <c r="F228" s="19">
        <v>29</v>
      </c>
      <c r="G228" s="19">
        <v>0</v>
      </c>
      <c r="H228" s="19">
        <v>0</v>
      </c>
      <c r="I228" s="19">
        <v>4</v>
      </c>
      <c r="J228" s="19">
        <v>20.78</v>
      </c>
      <c r="K228" s="19">
        <v>4</v>
      </c>
      <c r="L228" s="19">
        <v>20.78</v>
      </c>
      <c r="M228" s="19">
        <v>0</v>
      </c>
    </row>
    <row r="229" s="17" customFormat="1" spans="1:13">
      <c r="A229" s="19" t="s">
        <v>97</v>
      </c>
      <c r="B229" s="19" t="s">
        <v>206</v>
      </c>
      <c r="C229" s="19" t="s">
        <v>207</v>
      </c>
      <c r="D229" s="19">
        <v>161.15</v>
      </c>
      <c r="E229" s="19">
        <v>1784</v>
      </c>
      <c r="F229" s="19">
        <v>28</v>
      </c>
      <c r="G229" s="19">
        <v>1</v>
      </c>
      <c r="H229" s="19">
        <v>161.15</v>
      </c>
      <c r="I229" s="19">
        <v>9</v>
      </c>
      <c r="J229" s="19">
        <v>17.91</v>
      </c>
      <c r="K229" s="19">
        <v>10</v>
      </c>
      <c r="L229" s="19">
        <v>16.12</v>
      </c>
      <c r="M229" s="19">
        <v>12</v>
      </c>
    </row>
    <row r="230" s="17" customFormat="1" spans="1:13">
      <c r="A230" s="19" t="s">
        <v>98</v>
      </c>
      <c r="B230" s="19" t="s">
        <v>206</v>
      </c>
      <c r="C230" s="19" t="s">
        <v>207</v>
      </c>
      <c r="D230" s="19">
        <v>172.53</v>
      </c>
      <c r="E230" s="19">
        <v>2286</v>
      </c>
      <c r="F230" s="19">
        <v>35</v>
      </c>
      <c r="G230" s="19">
        <v>1</v>
      </c>
      <c r="H230" s="19">
        <v>172.53</v>
      </c>
      <c r="I230" s="19">
        <v>9</v>
      </c>
      <c r="J230" s="19">
        <v>19.17</v>
      </c>
      <c r="K230" s="19">
        <v>10</v>
      </c>
      <c r="L230" s="19">
        <v>17.25</v>
      </c>
      <c r="M230" s="19">
        <v>30</v>
      </c>
    </row>
    <row r="231" s="17" customFormat="1" spans="1:13">
      <c r="A231" s="19" t="s">
        <v>99</v>
      </c>
      <c r="B231" s="19" t="s">
        <v>206</v>
      </c>
      <c r="C231" s="19" t="s">
        <v>207</v>
      </c>
      <c r="D231" s="19">
        <v>0.86</v>
      </c>
      <c r="E231" s="19">
        <v>286</v>
      </c>
      <c r="F231" s="19">
        <v>6</v>
      </c>
      <c r="G231" s="19">
        <v>2</v>
      </c>
      <c r="H231" s="19">
        <v>0.43</v>
      </c>
      <c r="I231" s="19">
        <v>4</v>
      </c>
      <c r="J231" s="19">
        <v>0.22</v>
      </c>
      <c r="K231" s="19">
        <v>4</v>
      </c>
      <c r="L231" s="19">
        <v>0.22</v>
      </c>
      <c r="M231" s="19">
        <v>69.9</v>
      </c>
    </row>
    <row r="232" s="17" customFormat="1" spans="1:13">
      <c r="A232" s="19" t="s">
        <v>100</v>
      </c>
      <c r="B232" s="19" t="s">
        <v>206</v>
      </c>
      <c r="C232" s="19" t="s">
        <v>207</v>
      </c>
      <c r="D232" s="19">
        <v>0</v>
      </c>
      <c r="E232" s="19">
        <v>41</v>
      </c>
      <c r="F232" s="19">
        <v>1</v>
      </c>
      <c r="G232" s="19">
        <v>0</v>
      </c>
      <c r="H232" s="19">
        <v>0</v>
      </c>
      <c r="I232" s="19">
        <v>2</v>
      </c>
      <c r="J232" s="19">
        <v>0</v>
      </c>
      <c r="K232" s="19">
        <v>1</v>
      </c>
      <c r="L232" s="19">
        <v>0</v>
      </c>
      <c r="M232" s="19">
        <v>0</v>
      </c>
    </row>
    <row r="233" s="17" customFormat="1" spans="1:13">
      <c r="A233" s="19" t="s">
        <v>101</v>
      </c>
      <c r="B233" s="19" t="s">
        <v>206</v>
      </c>
      <c r="C233" s="19" t="s">
        <v>207</v>
      </c>
      <c r="D233" s="19">
        <v>0</v>
      </c>
      <c r="E233" s="19">
        <v>22</v>
      </c>
      <c r="F233" s="19">
        <v>2</v>
      </c>
      <c r="G233" s="19">
        <v>0</v>
      </c>
      <c r="H233" s="19">
        <v>0</v>
      </c>
      <c r="I233" s="19">
        <v>1</v>
      </c>
      <c r="J233" s="19">
        <v>0</v>
      </c>
      <c r="K233" s="19">
        <v>1</v>
      </c>
      <c r="L233" s="19">
        <v>0</v>
      </c>
      <c r="M233" s="19">
        <v>0</v>
      </c>
    </row>
    <row r="234" s="17" customFormat="1" spans="1:13">
      <c r="A234" s="19" t="s">
        <v>102</v>
      </c>
      <c r="B234" s="19" t="s">
        <v>206</v>
      </c>
      <c r="C234" s="19" t="s">
        <v>207</v>
      </c>
      <c r="D234" s="19">
        <v>0</v>
      </c>
      <c r="E234" s="19">
        <v>16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1</v>
      </c>
      <c r="L234" s="19">
        <v>0</v>
      </c>
      <c r="M234" s="19">
        <v>0</v>
      </c>
    </row>
    <row r="235" s="17" customFormat="1" spans="1:13">
      <c r="A235" s="19" t="s">
        <v>103</v>
      </c>
      <c r="B235" s="19" t="s">
        <v>206</v>
      </c>
      <c r="C235" s="19" t="s">
        <v>207</v>
      </c>
      <c r="D235" s="19">
        <v>304.72</v>
      </c>
      <c r="E235" s="19">
        <v>3441</v>
      </c>
      <c r="F235" s="19">
        <v>43</v>
      </c>
      <c r="G235" s="19">
        <v>0</v>
      </c>
      <c r="H235" s="19">
        <v>0</v>
      </c>
      <c r="I235" s="19">
        <v>6</v>
      </c>
      <c r="J235" s="19">
        <v>50.79</v>
      </c>
      <c r="K235" s="19">
        <v>6</v>
      </c>
      <c r="L235" s="19">
        <v>50.79</v>
      </c>
      <c r="M235" s="19">
        <v>0</v>
      </c>
    </row>
    <row r="236" s="17" customFormat="1" spans="1:13">
      <c r="A236" s="19" t="s">
        <v>104</v>
      </c>
      <c r="B236" s="19" t="s">
        <v>206</v>
      </c>
      <c r="C236" s="19" t="s">
        <v>207</v>
      </c>
      <c r="D236" s="19">
        <v>396.54</v>
      </c>
      <c r="E236" s="19">
        <v>5041</v>
      </c>
      <c r="F236" s="19">
        <v>67</v>
      </c>
      <c r="G236" s="19">
        <v>1</v>
      </c>
      <c r="H236" s="19">
        <v>396.54</v>
      </c>
      <c r="I236" s="19">
        <v>14</v>
      </c>
      <c r="J236" s="19">
        <v>28.32</v>
      </c>
      <c r="K236" s="19">
        <v>16</v>
      </c>
      <c r="L236" s="19">
        <v>24.78</v>
      </c>
      <c r="M236" s="19">
        <v>416</v>
      </c>
    </row>
    <row r="237" s="17" customFormat="1" spans="1:13">
      <c r="A237" s="19" t="s">
        <v>105</v>
      </c>
      <c r="B237" s="19" t="s">
        <v>206</v>
      </c>
      <c r="C237" s="19" t="s">
        <v>207</v>
      </c>
      <c r="D237" s="19">
        <v>304.51</v>
      </c>
      <c r="E237" s="19">
        <v>5035</v>
      </c>
      <c r="F237" s="19">
        <v>89</v>
      </c>
      <c r="G237" s="19">
        <v>1</v>
      </c>
      <c r="H237" s="19">
        <v>304.51</v>
      </c>
      <c r="I237" s="19">
        <v>20</v>
      </c>
      <c r="J237" s="19">
        <v>15.23</v>
      </c>
      <c r="K237" s="19">
        <v>19</v>
      </c>
      <c r="L237" s="19">
        <v>16.03</v>
      </c>
      <c r="M237" s="19">
        <v>187.9</v>
      </c>
    </row>
    <row r="238" s="17" customFormat="1" spans="1:13">
      <c r="A238" s="19" t="s">
        <v>106</v>
      </c>
      <c r="B238" s="19" t="s">
        <v>206</v>
      </c>
      <c r="C238" s="19" t="s">
        <v>207</v>
      </c>
      <c r="D238" s="19">
        <v>0</v>
      </c>
      <c r="E238" s="19">
        <v>226</v>
      </c>
      <c r="F238" s="19">
        <v>2</v>
      </c>
      <c r="G238" s="19">
        <v>0</v>
      </c>
      <c r="H238" s="19">
        <v>0</v>
      </c>
      <c r="I238" s="19">
        <v>1</v>
      </c>
      <c r="J238" s="19">
        <v>0</v>
      </c>
      <c r="K238" s="19">
        <v>2</v>
      </c>
      <c r="L238" s="19">
        <v>0</v>
      </c>
      <c r="M238" s="19">
        <v>0</v>
      </c>
    </row>
    <row r="239" s="17" customFormat="1" spans="1:13">
      <c r="A239" s="19" t="s">
        <v>107</v>
      </c>
      <c r="B239" s="19" t="s">
        <v>206</v>
      </c>
      <c r="C239" s="19" t="s">
        <v>207</v>
      </c>
      <c r="D239" s="19">
        <v>2.19</v>
      </c>
      <c r="E239" s="19">
        <v>70</v>
      </c>
      <c r="F239" s="19">
        <v>3</v>
      </c>
      <c r="G239" s="19">
        <v>0</v>
      </c>
      <c r="H239" s="19">
        <v>0</v>
      </c>
      <c r="I239" s="19">
        <v>1</v>
      </c>
      <c r="J239" s="19">
        <v>2.19</v>
      </c>
      <c r="K239" s="19">
        <v>1</v>
      </c>
      <c r="L239" s="19">
        <v>2.19</v>
      </c>
      <c r="M239" s="19">
        <v>0</v>
      </c>
    </row>
    <row r="240" s="17" customFormat="1" spans="1:13">
      <c r="A240" s="19" t="s">
        <v>108</v>
      </c>
      <c r="B240" s="19" t="s">
        <v>206</v>
      </c>
      <c r="C240" s="19" t="s">
        <v>207</v>
      </c>
      <c r="D240" s="19">
        <v>306.5</v>
      </c>
      <c r="E240" s="19">
        <v>3927</v>
      </c>
      <c r="F240" s="19">
        <v>77</v>
      </c>
      <c r="G240" s="19">
        <v>2</v>
      </c>
      <c r="H240" s="19">
        <v>153.25</v>
      </c>
      <c r="I240" s="19">
        <v>20</v>
      </c>
      <c r="J240" s="19">
        <v>15.33</v>
      </c>
      <c r="K240" s="19">
        <v>20</v>
      </c>
      <c r="L240" s="19">
        <v>15.33</v>
      </c>
      <c r="M240" s="19">
        <v>42</v>
      </c>
    </row>
    <row r="241" s="17" customFormat="1" spans="1:13">
      <c r="A241" s="19" t="s">
        <v>109</v>
      </c>
      <c r="B241" s="19" t="s">
        <v>206</v>
      </c>
      <c r="C241" s="19" t="s">
        <v>207</v>
      </c>
      <c r="D241" s="19">
        <v>500.33</v>
      </c>
      <c r="E241" s="19">
        <v>6198</v>
      </c>
      <c r="F241" s="19">
        <v>106</v>
      </c>
      <c r="G241" s="19">
        <v>1</v>
      </c>
      <c r="H241" s="19">
        <v>500.33</v>
      </c>
      <c r="I241" s="19">
        <v>24</v>
      </c>
      <c r="J241" s="19">
        <v>20.85</v>
      </c>
      <c r="K241" s="19">
        <v>28</v>
      </c>
      <c r="L241" s="19">
        <v>17.87</v>
      </c>
      <c r="M241" s="19">
        <v>6</v>
      </c>
    </row>
    <row r="242" s="17" customFormat="1" spans="1:13">
      <c r="A242" s="19" t="s">
        <v>110</v>
      </c>
      <c r="B242" s="19" t="s">
        <v>206</v>
      </c>
      <c r="C242" s="19" t="s">
        <v>207</v>
      </c>
      <c r="D242" s="19">
        <v>403.62</v>
      </c>
      <c r="E242" s="19">
        <v>4820</v>
      </c>
      <c r="F242" s="19">
        <v>87</v>
      </c>
      <c r="G242" s="19">
        <v>3</v>
      </c>
      <c r="H242" s="19">
        <v>134.54</v>
      </c>
      <c r="I242" s="19">
        <v>21</v>
      </c>
      <c r="J242" s="19">
        <v>19.22</v>
      </c>
      <c r="K242" s="19">
        <v>25</v>
      </c>
      <c r="L242" s="19">
        <v>16.14</v>
      </c>
      <c r="M242" s="19">
        <v>90</v>
      </c>
    </row>
    <row r="243" s="17" customFormat="1" spans="1:13">
      <c r="A243" s="19" t="s">
        <v>111</v>
      </c>
      <c r="B243" s="19" t="s">
        <v>206</v>
      </c>
      <c r="C243" s="19" t="s">
        <v>207</v>
      </c>
      <c r="D243" s="19">
        <v>180.81</v>
      </c>
      <c r="E243" s="19">
        <v>2002</v>
      </c>
      <c r="F243" s="19">
        <v>49</v>
      </c>
      <c r="G243" s="19">
        <v>1</v>
      </c>
      <c r="H243" s="19">
        <v>180.81</v>
      </c>
      <c r="I243" s="19">
        <v>12</v>
      </c>
      <c r="J243" s="19">
        <v>15.07</v>
      </c>
      <c r="K243" s="19">
        <v>14</v>
      </c>
      <c r="L243" s="19">
        <v>12.92</v>
      </c>
      <c r="M243" s="19">
        <v>42</v>
      </c>
    </row>
    <row r="244" s="17" customFormat="1" spans="1:13">
      <c r="A244" s="19" t="s">
        <v>112</v>
      </c>
      <c r="B244" s="19" t="s">
        <v>206</v>
      </c>
      <c r="C244" s="19" t="s">
        <v>207</v>
      </c>
      <c r="D244" s="19">
        <v>227.08</v>
      </c>
      <c r="E244" s="19">
        <v>2018</v>
      </c>
      <c r="F244" s="19">
        <v>41</v>
      </c>
      <c r="G244" s="19">
        <v>0</v>
      </c>
      <c r="H244" s="19">
        <v>0</v>
      </c>
      <c r="I244" s="19">
        <v>13</v>
      </c>
      <c r="J244" s="19">
        <v>17.47</v>
      </c>
      <c r="K244" s="19">
        <v>14</v>
      </c>
      <c r="L244" s="19">
        <v>16.22</v>
      </c>
      <c r="M244" s="19">
        <v>0</v>
      </c>
    </row>
    <row r="245" s="17" customFormat="1" spans="1:13">
      <c r="A245" s="19" t="s">
        <v>113</v>
      </c>
      <c r="B245" s="19" t="s">
        <v>206</v>
      </c>
      <c r="C245" s="19" t="s">
        <v>207</v>
      </c>
      <c r="D245" s="19">
        <v>187.83</v>
      </c>
      <c r="E245" s="19">
        <v>1672</v>
      </c>
      <c r="F245" s="19">
        <v>37</v>
      </c>
      <c r="G245" s="19">
        <v>2</v>
      </c>
      <c r="H245" s="19">
        <v>93.92</v>
      </c>
      <c r="I245" s="19">
        <v>11</v>
      </c>
      <c r="J245" s="19">
        <v>17.08</v>
      </c>
      <c r="K245" s="19">
        <v>11</v>
      </c>
      <c r="L245" s="19">
        <v>17.08</v>
      </c>
      <c r="M245" s="19">
        <v>102</v>
      </c>
    </row>
    <row r="246" s="17" customFormat="1" spans="1:13">
      <c r="A246" s="19" t="s">
        <v>114</v>
      </c>
      <c r="B246" s="19" t="s">
        <v>206</v>
      </c>
      <c r="C246" s="19" t="s">
        <v>207</v>
      </c>
      <c r="D246" s="19">
        <v>218.99</v>
      </c>
      <c r="E246" s="19">
        <v>1954</v>
      </c>
      <c r="F246" s="19">
        <v>60</v>
      </c>
      <c r="G246" s="19">
        <v>4</v>
      </c>
      <c r="H246" s="19">
        <v>54.75</v>
      </c>
      <c r="I246" s="19">
        <v>20</v>
      </c>
      <c r="J246" s="19">
        <v>10.95</v>
      </c>
      <c r="K246" s="19">
        <v>22</v>
      </c>
      <c r="L246" s="19">
        <v>9.95</v>
      </c>
      <c r="M246" s="19">
        <v>276</v>
      </c>
    </row>
    <row r="247" s="17" customFormat="1" spans="1:13">
      <c r="A247" s="19" t="s">
        <v>115</v>
      </c>
      <c r="B247" s="19" t="s">
        <v>206</v>
      </c>
      <c r="C247" s="19" t="s">
        <v>207</v>
      </c>
      <c r="D247" s="19">
        <v>521.08</v>
      </c>
      <c r="E247" s="19">
        <v>4531</v>
      </c>
      <c r="F247" s="19">
        <v>105</v>
      </c>
      <c r="G247" s="19">
        <v>0</v>
      </c>
      <c r="H247" s="19">
        <v>0</v>
      </c>
      <c r="I247" s="19">
        <v>19</v>
      </c>
      <c r="J247" s="19">
        <v>27.43</v>
      </c>
      <c r="K247" s="19">
        <v>20</v>
      </c>
      <c r="L247" s="19">
        <v>26.05</v>
      </c>
      <c r="M247" s="19">
        <v>359.9</v>
      </c>
    </row>
    <row r="248" s="17" customFormat="1" spans="1:13">
      <c r="A248" s="19" t="s">
        <v>116</v>
      </c>
      <c r="B248" s="19" t="s">
        <v>206</v>
      </c>
      <c r="C248" s="19" t="s">
        <v>207</v>
      </c>
      <c r="D248" s="19">
        <v>806.49</v>
      </c>
      <c r="E248" s="19">
        <v>7216</v>
      </c>
      <c r="F248" s="19">
        <v>174</v>
      </c>
      <c r="G248" s="19">
        <v>3</v>
      </c>
      <c r="H248" s="19">
        <v>268.83</v>
      </c>
      <c r="I248" s="19">
        <v>47</v>
      </c>
      <c r="J248" s="19">
        <v>17.16</v>
      </c>
      <c r="K248" s="19">
        <v>49</v>
      </c>
      <c r="L248" s="19">
        <v>16.46</v>
      </c>
      <c r="M248" s="19">
        <v>426</v>
      </c>
    </row>
    <row r="249" s="17" customFormat="1" spans="1:13">
      <c r="A249" s="19" t="s">
        <v>117</v>
      </c>
      <c r="B249" s="19" t="s">
        <v>206</v>
      </c>
      <c r="C249" s="19" t="s">
        <v>207</v>
      </c>
      <c r="D249" s="19">
        <v>893.81</v>
      </c>
      <c r="E249" s="19">
        <v>8036</v>
      </c>
      <c r="F249" s="19">
        <v>206</v>
      </c>
      <c r="G249" s="19">
        <v>3</v>
      </c>
      <c r="H249" s="19">
        <v>297.94</v>
      </c>
      <c r="I249" s="19">
        <v>46</v>
      </c>
      <c r="J249" s="19">
        <v>19.43</v>
      </c>
      <c r="K249" s="19">
        <v>53</v>
      </c>
      <c r="L249" s="19">
        <v>16.86</v>
      </c>
      <c r="M249" s="19">
        <v>429.9</v>
      </c>
    </row>
    <row r="250" s="17" customFormat="1" spans="1:13">
      <c r="A250" s="19" t="s">
        <v>118</v>
      </c>
      <c r="B250" s="19" t="s">
        <v>206</v>
      </c>
      <c r="C250" s="19" t="s">
        <v>207</v>
      </c>
      <c r="D250" s="19">
        <v>897.92</v>
      </c>
      <c r="E250" s="19">
        <v>9159</v>
      </c>
      <c r="F250" s="19">
        <v>200</v>
      </c>
      <c r="G250" s="19">
        <v>4</v>
      </c>
      <c r="H250" s="19">
        <v>224.48</v>
      </c>
      <c r="I250" s="19">
        <v>46</v>
      </c>
      <c r="J250" s="19">
        <v>19.52</v>
      </c>
      <c r="K250" s="19">
        <v>49</v>
      </c>
      <c r="L250" s="19">
        <v>18.32</v>
      </c>
      <c r="M250" s="19">
        <v>343.8</v>
      </c>
    </row>
    <row r="251" s="17" customFormat="1" spans="1:13">
      <c r="A251" s="19" t="s">
        <v>119</v>
      </c>
      <c r="B251" s="19" t="s">
        <v>206</v>
      </c>
      <c r="C251" s="19" t="s">
        <v>207</v>
      </c>
      <c r="D251" s="19">
        <v>1187.19</v>
      </c>
      <c r="E251" s="19">
        <v>12547</v>
      </c>
      <c r="F251" s="19">
        <v>273</v>
      </c>
      <c r="G251" s="19">
        <v>1</v>
      </c>
      <c r="H251" s="19">
        <v>1187.19</v>
      </c>
      <c r="I251" s="19">
        <v>60</v>
      </c>
      <c r="J251" s="19">
        <v>19.79</v>
      </c>
      <c r="K251" s="19">
        <v>65</v>
      </c>
      <c r="L251" s="19">
        <v>18.26</v>
      </c>
      <c r="M251" s="19">
        <v>42</v>
      </c>
    </row>
    <row r="252" s="17" customFormat="1" spans="1:13">
      <c r="A252" s="19" t="s">
        <v>120</v>
      </c>
      <c r="B252" s="19" t="s">
        <v>206</v>
      </c>
      <c r="C252" s="19" t="s">
        <v>207</v>
      </c>
      <c r="D252" s="19">
        <v>964.38</v>
      </c>
      <c r="E252" s="19">
        <v>10831</v>
      </c>
      <c r="F252" s="19">
        <v>236</v>
      </c>
      <c r="G252" s="19">
        <v>5</v>
      </c>
      <c r="H252" s="19">
        <v>192.88</v>
      </c>
      <c r="I252" s="19">
        <v>52</v>
      </c>
      <c r="J252" s="19">
        <v>18.55</v>
      </c>
      <c r="K252" s="19">
        <v>59</v>
      </c>
      <c r="L252" s="19">
        <v>16.35</v>
      </c>
      <c r="M252" s="19">
        <v>155.7</v>
      </c>
    </row>
    <row r="253" s="17" customFormat="1" spans="1:13">
      <c r="A253" s="19" t="s">
        <v>121</v>
      </c>
      <c r="B253" s="19" t="s">
        <v>206</v>
      </c>
      <c r="C253" s="19" t="s">
        <v>207</v>
      </c>
      <c r="D253" s="19">
        <v>883.64</v>
      </c>
      <c r="E253" s="19">
        <v>10678</v>
      </c>
      <c r="F253" s="19">
        <v>242</v>
      </c>
      <c r="G253" s="19">
        <v>2</v>
      </c>
      <c r="H253" s="19">
        <v>441.82</v>
      </c>
      <c r="I253" s="19">
        <v>45</v>
      </c>
      <c r="J253" s="19">
        <v>19.64</v>
      </c>
      <c r="K253" s="19">
        <v>46</v>
      </c>
      <c r="L253" s="19">
        <v>19.21</v>
      </c>
      <c r="M253" s="19">
        <v>51.9</v>
      </c>
    </row>
    <row r="254" s="17" customFormat="1" spans="1:13">
      <c r="A254" s="19" t="s">
        <v>122</v>
      </c>
      <c r="B254" s="19" t="s">
        <v>206</v>
      </c>
      <c r="C254" s="19" t="s">
        <v>207</v>
      </c>
      <c r="D254" s="19">
        <v>670.52</v>
      </c>
      <c r="E254" s="19">
        <v>8353</v>
      </c>
      <c r="F254" s="19">
        <v>227</v>
      </c>
      <c r="G254" s="19">
        <v>0</v>
      </c>
      <c r="H254" s="19">
        <v>0</v>
      </c>
      <c r="I254" s="19">
        <v>52</v>
      </c>
      <c r="J254" s="19">
        <v>12.89</v>
      </c>
      <c r="K254" s="19">
        <v>59</v>
      </c>
      <c r="L254" s="19">
        <v>11.36</v>
      </c>
      <c r="M254" s="19">
        <v>0</v>
      </c>
    </row>
    <row r="255" s="17" customFormat="1" spans="1:13">
      <c r="A255" s="19" t="s">
        <v>123</v>
      </c>
      <c r="B255" s="19" t="s">
        <v>206</v>
      </c>
      <c r="C255" s="19" t="s">
        <v>207</v>
      </c>
      <c r="D255" s="19">
        <v>554.05</v>
      </c>
      <c r="E255" s="19">
        <v>7551</v>
      </c>
      <c r="F255" s="19">
        <v>206</v>
      </c>
      <c r="G255" s="19">
        <v>1</v>
      </c>
      <c r="H255" s="19">
        <v>554.05</v>
      </c>
      <c r="I255" s="19">
        <v>49</v>
      </c>
      <c r="J255" s="19">
        <v>11.31</v>
      </c>
      <c r="K255" s="19">
        <v>53</v>
      </c>
      <c r="L255" s="19">
        <v>10.45</v>
      </c>
      <c r="M255" s="19">
        <v>6</v>
      </c>
    </row>
    <row r="256" s="17" customFormat="1" spans="1:13">
      <c r="A256" s="19" t="s">
        <v>124</v>
      </c>
      <c r="B256" s="19" t="s">
        <v>206</v>
      </c>
      <c r="C256" s="19" t="s">
        <v>207</v>
      </c>
      <c r="D256" s="19">
        <v>631.19</v>
      </c>
      <c r="E256" s="19">
        <v>7582</v>
      </c>
      <c r="F256" s="19">
        <v>189</v>
      </c>
      <c r="G256" s="19">
        <v>0</v>
      </c>
      <c r="H256" s="19">
        <v>0</v>
      </c>
      <c r="I256" s="19">
        <v>35</v>
      </c>
      <c r="J256" s="19">
        <v>18.03</v>
      </c>
      <c r="K256" s="19">
        <v>37</v>
      </c>
      <c r="L256" s="19">
        <v>17.06</v>
      </c>
      <c r="M256" s="19">
        <v>0</v>
      </c>
    </row>
    <row r="257" s="17" customFormat="1" spans="1:13">
      <c r="A257" s="19" t="s">
        <v>125</v>
      </c>
      <c r="B257" s="19" t="s">
        <v>206</v>
      </c>
      <c r="C257" s="19" t="s">
        <v>207</v>
      </c>
      <c r="D257" s="19">
        <v>622.83</v>
      </c>
      <c r="E257" s="19">
        <v>7600</v>
      </c>
      <c r="F257" s="19">
        <v>162</v>
      </c>
      <c r="G257" s="19">
        <v>2</v>
      </c>
      <c r="H257" s="19">
        <v>311.42</v>
      </c>
      <c r="I257" s="19">
        <v>34</v>
      </c>
      <c r="J257" s="19">
        <v>18.32</v>
      </c>
      <c r="K257" s="19">
        <v>42</v>
      </c>
      <c r="L257" s="19">
        <v>14.83</v>
      </c>
      <c r="M257" s="19">
        <v>69.9</v>
      </c>
    </row>
    <row r="258" s="17" customFormat="1" spans="1:13">
      <c r="A258" s="19" t="s">
        <v>126</v>
      </c>
      <c r="B258" s="19" t="s">
        <v>206</v>
      </c>
      <c r="C258" s="19" t="s">
        <v>207</v>
      </c>
      <c r="D258" s="19">
        <v>549.32</v>
      </c>
      <c r="E258" s="19">
        <v>7602</v>
      </c>
      <c r="F258" s="19">
        <v>175</v>
      </c>
      <c r="G258" s="19">
        <v>1</v>
      </c>
      <c r="H258" s="19">
        <v>549.32</v>
      </c>
      <c r="I258" s="19">
        <v>32</v>
      </c>
      <c r="J258" s="19">
        <v>17.17</v>
      </c>
      <c r="K258" s="19">
        <v>37</v>
      </c>
      <c r="L258" s="19">
        <v>14.85</v>
      </c>
      <c r="M258" s="19">
        <v>18</v>
      </c>
    </row>
    <row r="259" s="17" customFormat="1" spans="1:13">
      <c r="A259" s="19" t="s">
        <v>127</v>
      </c>
      <c r="B259" s="19" t="s">
        <v>206</v>
      </c>
      <c r="C259" s="19" t="s">
        <v>207</v>
      </c>
      <c r="D259" s="19">
        <v>545.21</v>
      </c>
      <c r="E259" s="19">
        <v>7959</v>
      </c>
      <c r="F259" s="19">
        <v>181</v>
      </c>
      <c r="G259" s="19">
        <v>3</v>
      </c>
      <c r="H259" s="19">
        <v>181.74</v>
      </c>
      <c r="I259" s="19">
        <v>33</v>
      </c>
      <c r="J259" s="19">
        <v>16.52</v>
      </c>
      <c r="K259" s="19">
        <v>36</v>
      </c>
      <c r="L259" s="19">
        <v>15.14</v>
      </c>
      <c r="M259" s="19">
        <v>42</v>
      </c>
    </row>
    <row r="260" s="17" customFormat="1" spans="1:13">
      <c r="A260" s="19" t="s">
        <v>128</v>
      </c>
      <c r="B260" s="19" t="s">
        <v>206</v>
      </c>
      <c r="C260" s="19" t="s">
        <v>207</v>
      </c>
      <c r="D260" s="19">
        <v>812.17</v>
      </c>
      <c r="E260" s="19">
        <v>11389</v>
      </c>
      <c r="F260" s="19">
        <v>248</v>
      </c>
      <c r="G260" s="19">
        <v>2</v>
      </c>
      <c r="H260" s="19">
        <v>406.09</v>
      </c>
      <c r="I260" s="19">
        <v>42</v>
      </c>
      <c r="J260" s="19">
        <v>19.34</v>
      </c>
      <c r="K260" s="19">
        <v>52</v>
      </c>
      <c r="L260" s="19">
        <v>15.62</v>
      </c>
      <c r="M260" s="19">
        <v>225.9</v>
      </c>
    </row>
    <row r="261" s="17" customFormat="1" spans="1:13">
      <c r="A261" s="19" t="s">
        <v>129</v>
      </c>
      <c r="B261" s="19" t="s">
        <v>206</v>
      </c>
      <c r="C261" s="19" t="s">
        <v>207</v>
      </c>
      <c r="D261" s="19">
        <v>533.07</v>
      </c>
      <c r="E261" s="19">
        <v>9038</v>
      </c>
      <c r="F261" s="19">
        <v>168</v>
      </c>
      <c r="G261" s="19">
        <v>2</v>
      </c>
      <c r="H261" s="19">
        <v>266.54</v>
      </c>
      <c r="I261" s="19">
        <v>50</v>
      </c>
      <c r="J261" s="19">
        <v>10.66</v>
      </c>
      <c r="K261" s="19">
        <v>51</v>
      </c>
      <c r="L261" s="19">
        <v>10.45</v>
      </c>
      <c r="M261" s="19">
        <v>1048</v>
      </c>
    </row>
    <row r="262" s="17" customFormat="1" spans="1:13">
      <c r="A262" s="19" t="s">
        <v>130</v>
      </c>
      <c r="B262" s="19" t="s">
        <v>206</v>
      </c>
      <c r="C262" s="19" t="s">
        <v>207</v>
      </c>
      <c r="D262" s="19">
        <v>525.47</v>
      </c>
      <c r="E262" s="19">
        <v>8903</v>
      </c>
      <c r="F262" s="19">
        <v>213</v>
      </c>
      <c r="G262" s="19">
        <v>2</v>
      </c>
      <c r="H262" s="19">
        <v>262.74</v>
      </c>
      <c r="I262" s="19">
        <v>34</v>
      </c>
      <c r="J262" s="19">
        <v>15.46</v>
      </c>
      <c r="K262" s="19">
        <v>40</v>
      </c>
      <c r="L262" s="19">
        <v>13.14</v>
      </c>
      <c r="M262" s="19">
        <v>42</v>
      </c>
    </row>
    <row r="263" s="17" customFormat="1" spans="1:13">
      <c r="A263" s="19" t="s">
        <v>131</v>
      </c>
      <c r="B263" s="19" t="s">
        <v>206</v>
      </c>
      <c r="C263" s="19" t="s">
        <v>207</v>
      </c>
      <c r="D263" s="19">
        <v>446.04</v>
      </c>
      <c r="E263" s="19">
        <v>7414</v>
      </c>
      <c r="F263" s="19">
        <v>174</v>
      </c>
      <c r="G263" s="19">
        <v>2</v>
      </c>
      <c r="H263" s="19">
        <v>223.02</v>
      </c>
      <c r="I263" s="19">
        <v>29</v>
      </c>
      <c r="J263" s="19">
        <v>15.38</v>
      </c>
      <c r="K263" s="19">
        <v>29</v>
      </c>
      <c r="L263" s="19">
        <v>15.38</v>
      </c>
      <c r="M263" s="19">
        <v>90</v>
      </c>
    </row>
    <row r="264" s="17" customFormat="1" spans="1:13">
      <c r="A264" s="19" t="s">
        <v>132</v>
      </c>
      <c r="B264" s="19" t="s">
        <v>206</v>
      </c>
      <c r="C264" s="19" t="s">
        <v>207</v>
      </c>
      <c r="D264" s="19">
        <v>580.58</v>
      </c>
      <c r="E264" s="19">
        <v>8075</v>
      </c>
      <c r="F264" s="19">
        <v>167</v>
      </c>
      <c r="G264" s="19">
        <v>4</v>
      </c>
      <c r="H264" s="19">
        <v>145.15</v>
      </c>
      <c r="I264" s="19">
        <v>39</v>
      </c>
      <c r="J264" s="19">
        <v>14.89</v>
      </c>
      <c r="K264" s="19">
        <v>41</v>
      </c>
      <c r="L264" s="19">
        <v>14.16</v>
      </c>
      <c r="M264" s="19">
        <v>78</v>
      </c>
    </row>
    <row r="265" s="17" customFormat="1" spans="1:13">
      <c r="A265" s="19" t="s">
        <v>133</v>
      </c>
      <c r="B265" s="19" t="s">
        <v>206</v>
      </c>
      <c r="C265" s="19" t="s">
        <v>207</v>
      </c>
      <c r="D265" s="19">
        <v>513.34</v>
      </c>
      <c r="E265" s="19">
        <v>9480</v>
      </c>
      <c r="F265" s="19">
        <v>231</v>
      </c>
      <c r="G265" s="19">
        <v>0</v>
      </c>
      <c r="H265" s="19">
        <v>0</v>
      </c>
      <c r="I265" s="19">
        <v>18</v>
      </c>
      <c r="J265" s="19">
        <v>28.52</v>
      </c>
      <c r="K265" s="19">
        <v>19</v>
      </c>
      <c r="L265" s="19">
        <v>27.02</v>
      </c>
      <c r="M265" s="19">
        <v>0</v>
      </c>
    </row>
    <row r="266" s="17" customFormat="1" spans="1:13">
      <c r="A266" s="19" t="s">
        <v>134</v>
      </c>
      <c r="B266" s="19" t="s">
        <v>206</v>
      </c>
      <c r="C266" s="19" t="s">
        <v>207</v>
      </c>
      <c r="D266" s="19">
        <v>418.09</v>
      </c>
      <c r="E266" s="19">
        <v>8408</v>
      </c>
      <c r="F266" s="19">
        <v>208</v>
      </c>
      <c r="G266" s="19">
        <v>1</v>
      </c>
      <c r="H266" s="19">
        <v>418.09</v>
      </c>
      <c r="I266" s="19">
        <v>19</v>
      </c>
      <c r="J266" s="19">
        <v>22</v>
      </c>
      <c r="K266" s="19">
        <v>23</v>
      </c>
      <c r="L266" s="19">
        <v>18.18</v>
      </c>
      <c r="M266" s="19">
        <v>30</v>
      </c>
    </row>
    <row r="267" s="17" customFormat="1" spans="1:13">
      <c r="A267" s="19" t="s">
        <v>135</v>
      </c>
      <c r="B267" s="19" t="s">
        <v>206</v>
      </c>
      <c r="C267" s="19" t="s">
        <v>207</v>
      </c>
      <c r="D267" s="19">
        <v>249.35</v>
      </c>
      <c r="E267" s="19">
        <v>4545</v>
      </c>
      <c r="F267" s="19">
        <v>135</v>
      </c>
      <c r="G267" s="19">
        <v>1</v>
      </c>
      <c r="H267" s="19">
        <v>249.35</v>
      </c>
      <c r="I267" s="19">
        <v>13</v>
      </c>
      <c r="J267" s="19">
        <v>19.18</v>
      </c>
      <c r="K267" s="19">
        <v>13</v>
      </c>
      <c r="L267" s="19">
        <v>19.18</v>
      </c>
      <c r="M267" s="19">
        <v>12</v>
      </c>
    </row>
    <row r="268" s="17" customFormat="1" spans="1:13">
      <c r="A268" s="19" t="s">
        <v>136</v>
      </c>
      <c r="B268" s="19" t="s">
        <v>206</v>
      </c>
      <c r="C268" s="19" t="s">
        <v>207</v>
      </c>
      <c r="D268" s="19">
        <v>174.65</v>
      </c>
      <c r="E268" s="19">
        <v>2910</v>
      </c>
      <c r="F268" s="19">
        <v>74</v>
      </c>
      <c r="G268" s="19">
        <v>1</v>
      </c>
      <c r="H268" s="19">
        <v>174.65</v>
      </c>
      <c r="I268" s="19">
        <v>8</v>
      </c>
      <c r="J268" s="19">
        <v>21.83</v>
      </c>
      <c r="K268" s="19">
        <v>11</v>
      </c>
      <c r="L268" s="19">
        <v>15.88</v>
      </c>
      <c r="M268" s="19">
        <v>30</v>
      </c>
    </row>
    <row r="269" s="17" customFormat="1" spans="1:13">
      <c r="A269" s="19" t="s">
        <v>137</v>
      </c>
      <c r="B269" s="19" t="s">
        <v>206</v>
      </c>
      <c r="C269" s="19" t="s">
        <v>207</v>
      </c>
      <c r="D269" s="19">
        <v>173.77</v>
      </c>
      <c r="E269" s="19">
        <v>2565</v>
      </c>
      <c r="F269" s="19">
        <v>61</v>
      </c>
      <c r="G269" s="19">
        <v>1</v>
      </c>
      <c r="H269" s="19">
        <v>173.77</v>
      </c>
      <c r="I269" s="19">
        <v>9</v>
      </c>
      <c r="J269" s="19">
        <v>19.31</v>
      </c>
      <c r="K269" s="19">
        <v>11</v>
      </c>
      <c r="L269" s="19">
        <v>15.8</v>
      </c>
      <c r="M269" s="19">
        <v>30</v>
      </c>
    </row>
    <row r="270" s="17" customFormat="1" spans="1:13">
      <c r="A270" s="19" t="s">
        <v>138</v>
      </c>
      <c r="B270" s="19" t="s">
        <v>206</v>
      </c>
      <c r="C270" s="19" t="s">
        <v>207</v>
      </c>
      <c r="D270" s="19">
        <v>186.89</v>
      </c>
      <c r="E270" s="19">
        <v>2413</v>
      </c>
      <c r="F270" s="19">
        <v>68</v>
      </c>
      <c r="G270" s="19">
        <v>0</v>
      </c>
      <c r="H270" s="19">
        <v>0</v>
      </c>
      <c r="I270" s="19">
        <v>10</v>
      </c>
      <c r="J270" s="19">
        <v>18.69</v>
      </c>
      <c r="K270" s="19">
        <v>11</v>
      </c>
      <c r="L270" s="19">
        <v>16.99</v>
      </c>
      <c r="M270" s="19">
        <v>0</v>
      </c>
    </row>
    <row r="271" s="17" customFormat="1" spans="1:13">
      <c r="A271" s="19" t="s">
        <v>139</v>
      </c>
      <c r="B271" s="19" t="s">
        <v>206</v>
      </c>
      <c r="C271" s="19" t="s">
        <v>207</v>
      </c>
      <c r="D271" s="19">
        <v>259.45</v>
      </c>
      <c r="E271" s="19">
        <v>4144</v>
      </c>
      <c r="F271" s="19">
        <v>123</v>
      </c>
      <c r="G271" s="19">
        <v>1</v>
      </c>
      <c r="H271" s="19">
        <v>259.45</v>
      </c>
      <c r="I271" s="19">
        <v>13</v>
      </c>
      <c r="J271" s="19">
        <v>19.96</v>
      </c>
      <c r="K271" s="19">
        <v>13</v>
      </c>
      <c r="L271" s="19">
        <v>19.96</v>
      </c>
      <c r="M271" s="19">
        <v>30</v>
      </c>
    </row>
    <row r="272" s="17" customFormat="1" spans="1:13">
      <c r="A272" s="19" t="s">
        <v>140</v>
      </c>
      <c r="B272" s="19" t="s">
        <v>206</v>
      </c>
      <c r="C272" s="19" t="s">
        <v>207</v>
      </c>
      <c r="D272" s="19">
        <v>368.39</v>
      </c>
      <c r="E272" s="19">
        <v>6774</v>
      </c>
      <c r="F272" s="19">
        <v>189</v>
      </c>
      <c r="G272" s="19">
        <v>1</v>
      </c>
      <c r="H272" s="19">
        <v>368.39</v>
      </c>
      <c r="I272" s="19">
        <v>19</v>
      </c>
      <c r="J272" s="19">
        <v>19.39</v>
      </c>
      <c r="K272" s="19">
        <v>21</v>
      </c>
      <c r="L272" s="19">
        <v>17.54</v>
      </c>
      <c r="M272" s="19">
        <v>9.9</v>
      </c>
    </row>
    <row r="273" s="17" customFormat="1" spans="1:13">
      <c r="A273" s="19" t="s">
        <v>141</v>
      </c>
      <c r="B273" s="19" t="s">
        <v>206</v>
      </c>
      <c r="C273" s="19" t="s">
        <v>207</v>
      </c>
      <c r="D273" s="19">
        <v>381.01</v>
      </c>
      <c r="E273" s="19">
        <v>8028</v>
      </c>
      <c r="F273" s="19">
        <v>222</v>
      </c>
      <c r="G273" s="19">
        <v>3</v>
      </c>
      <c r="H273" s="19">
        <v>127</v>
      </c>
      <c r="I273" s="19">
        <v>26</v>
      </c>
      <c r="J273" s="19">
        <v>14.65</v>
      </c>
      <c r="K273" s="19">
        <v>27</v>
      </c>
      <c r="L273" s="19">
        <v>14.11</v>
      </c>
      <c r="M273" s="19">
        <v>51.9</v>
      </c>
    </row>
    <row r="274" s="17" customFormat="1" spans="1:13">
      <c r="A274" s="19" t="s">
        <v>142</v>
      </c>
      <c r="B274" s="19" t="s">
        <v>206</v>
      </c>
      <c r="C274" s="19" t="s">
        <v>207</v>
      </c>
      <c r="D274" s="19">
        <v>650.41</v>
      </c>
      <c r="E274" s="19">
        <v>10561</v>
      </c>
      <c r="F274" s="19">
        <v>276</v>
      </c>
      <c r="G274" s="19">
        <v>3</v>
      </c>
      <c r="H274" s="19">
        <v>216.8</v>
      </c>
      <c r="I274" s="19">
        <v>38</v>
      </c>
      <c r="J274" s="19">
        <v>17.12</v>
      </c>
      <c r="K274" s="19">
        <v>41</v>
      </c>
      <c r="L274" s="19">
        <v>15.86</v>
      </c>
      <c r="M274" s="19">
        <v>370</v>
      </c>
    </row>
    <row r="275" s="17" customFormat="1" spans="1:13">
      <c r="A275" s="19" t="s">
        <v>143</v>
      </c>
      <c r="B275" s="19" t="s">
        <v>206</v>
      </c>
      <c r="C275" s="19" t="s">
        <v>207</v>
      </c>
      <c r="D275" s="19">
        <v>982.9</v>
      </c>
      <c r="E275" s="19">
        <v>24869</v>
      </c>
      <c r="F275" s="19">
        <v>508</v>
      </c>
      <c r="G275" s="19">
        <v>1</v>
      </c>
      <c r="H275" s="19">
        <v>982.9</v>
      </c>
      <c r="I275" s="19">
        <v>21</v>
      </c>
      <c r="J275" s="19">
        <v>46.8</v>
      </c>
      <c r="K275" s="19">
        <v>20</v>
      </c>
      <c r="L275" s="19">
        <v>49.15</v>
      </c>
      <c r="M275" s="19">
        <v>29.9</v>
      </c>
    </row>
    <row r="276" s="17" customFormat="1" spans="1:13">
      <c r="A276" s="19" t="s">
        <v>144</v>
      </c>
      <c r="B276" s="19" t="s">
        <v>206</v>
      </c>
      <c r="C276" s="19" t="s">
        <v>207</v>
      </c>
      <c r="D276" s="19">
        <v>321.4</v>
      </c>
      <c r="E276" s="19">
        <v>11023</v>
      </c>
      <c r="F276" s="19">
        <v>298</v>
      </c>
      <c r="G276" s="19">
        <v>0</v>
      </c>
      <c r="H276" s="19">
        <v>0</v>
      </c>
      <c r="I276" s="19">
        <v>11</v>
      </c>
      <c r="J276" s="19">
        <v>29.22</v>
      </c>
      <c r="K276" s="19">
        <v>12</v>
      </c>
      <c r="L276" s="19">
        <v>26.78</v>
      </c>
      <c r="M276" s="19">
        <v>0</v>
      </c>
    </row>
    <row r="277" s="17" customFormat="1" spans="1:13">
      <c r="A277" s="19" t="s">
        <v>145</v>
      </c>
      <c r="B277" s="19" t="s">
        <v>206</v>
      </c>
      <c r="C277" s="19" t="s">
        <v>207</v>
      </c>
      <c r="D277" s="19">
        <v>381.16</v>
      </c>
      <c r="E277" s="19">
        <v>10273</v>
      </c>
      <c r="F277" s="19">
        <v>278</v>
      </c>
      <c r="G277" s="19">
        <v>1</v>
      </c>
      <c r="H277" s="19">
        <v>381.16</v>
      </c>
      <c r="I277" s="19">
        <v>20</v>
      </c>
      <c r="J277" s="19">
        <v>19.06</v>
      </c>
      <c r="K277" s="19">
        <v>21</v>
      </c>
      <c r="L277" s="19">
        <v>18.15</v>
      </c>
      <c r="M277" s="19">
        <v>9.9</v>
      </c>
    </row>
    <row r="278" s="17" customFormat="1" spans="1:13">
      <c r="A278" s="19" t="s">
        <v>146</v>
      </c>
      <c r="B278" s="19" t="s">
        <v>206</v>
      </c>
      <c r="C278" s="19" t="s">
        <v>207</v>
      </c>
      <c r="D278" s="19">
        <v>341</v>
      </c>
      <c r="E278" s="19">
        <v>8559</v>
      </c>
      <c r="F278" s="19">
        <v>213</v>
      </c>
      <c r="G278" s="19">
        <v>0</v>
      </c>
      <c r="H278" s="19">
        <v>0</v>
      </c>
      <c r="I278" s="19">
        <v>15</v>
      </c>
      <c r="J278" s="19">
        <v>22.73</v>
      </c>
      <c r="K278" s="19">
        <v>15</v>
      </c>
      <c r="L278" s="19">
        <v>22.73</v>
      </c>
      <c r="M278" s="19">
        <v>0</v>
      </c>
    </row>
    <row r="279" s="17" customFormat="1" spans="1:13">
      <c r="A279" s="19" t="s">
        <v>147</v>
      </c>
      <c r="B279" s="19" t="s">
        <v>206</v>
      </c>
      <c r="C279" s="19" t="s">
        <v>207</v>
      </c>
      <c r="D279" s="19">
        <v>3.87</v>
      </c>
      <c r="E279" s="19">
        <v>715</v>
      </c>
      <c r="F279" s="19">
        <v>27</v>
      </c>
      <c r="G279" s="19">
        <v>2</v>
      </c>
      <c r="H279" s="19">
        <v>1.94</v>
      </c>
      <c r="I279" s="19">
        <v>6</v>
      </c>
      <c r="J279" s="19">
        <v>0.65</v>
      </c>
      <c r="K279" s="19">
        <v>6</v>
      </c>
      <c r="L279" s="19">
        <v>0.65</v>
      </c>
      <c r="M279" s="19">
        <v>65.8</v>
      </c>
    </row>
    <row r="280" s="17" customFormat="1" spans="1:13">
      <c r="A280" s="19" t="s">
        <v>148</v>
      </c>
      <c r="B280" s="19" t="s">
        <v>206</v>
      </c>
      <c r="C280" s="19" t="s">
        <v>207</v>
      </c>
      <c r="D280" s="19">
        <v>0</v>
      </c>
      <c r="E280" s="19">
        <v>114</v>
      </c>
      <c r="F280" s="19">
        <v>5</v>
      </c>
      <c r="G280" s="19">
        <v>1</v>
      </c>
      <c r="H280" s="19">
        <v>0</v>
      </c>
      <c r="I280" s="19">
        <v>1</v>
      </c>
      <c r="J280" s="19">
        <v>0</v>
      </c>
      <c r="K280" s="19">
        <v>2</v>
      </c>
      <c r="L280" s="19">
        <v>0</v>
      </c>
      <c r="M280" s="19">
        <v>24</v>
      </c>
    </row>
    <row r="281" s="17" customFormat="1" spans="1:13">
      <c r="A281" s="19" t="s">
        <v>149</v>
      </c>
      <c r="B281" s="19" t="s">
        <v>206</v>
      </c>
      <c r="C281" s="19" t="s">
        <v>207</v>
      </c>
      <c r="D281" s="19">
        <v>0</v>
      </c>
      <c r="E281" s="19">
        <v>86</v>
      </c>
      <c r="F281" s="19">
        <v>0</v>
      </c>
      <c r="G281" s="19">
        <v>0</v>
      </c>
      <c r="H281" s="19">
        <v>0</v>
      </c>
      <c r="I281" s="19">
        <v>1</v>
      </c>
      <c r="J281" s="19">
        <v>0</v>
      </c>
      <c r="K281" s="19">
        <v>1</v>
      </c>
      <c r="L281" s="19">
        <v>0</v>
      </c>
      <c r="M281" s="19">
        <v>0</v>
      </c>
    </row>
    <row r="282" s="17" customFormat="1" spans="1:13">
      <c r="A282" s="19" t="s">
        <v>150</v>
      </c>
      <c r="B282" s="19" t="s">
        <v>206</v>
      </c>
      <c r="C282" s="19" t="s">
        <v>207</v>
      </c>
      <c r="D282" s="19">
        <v>0</v>
      </c>
      <c r="E282" s="19">
        <v>57</v>
      </c>
      <c r="F282" s="19">
        <v>1</v>
      </c>
      <c r="G282" s="19">
        <v>1</v>
      </c>
      <c r="H282" s="19">
        <v>0</v>
      </c>
      <c r="I282" s="19">
        <v>0</v>
      </c>
      <c r="J282" s="19">
        <v>0</v>
      </c>
      <c r="K282" s="19">
        <v>1</v>
      </c>
      <c r="L282" s="19">
        <v>0</v>
      </c>
      <c r="M282" s="19">
        <v>35.9</v>
      </c>
    </row>
    <row r="283" s="17" customFormat="1" spans="1:13">
      <c r="A283" s="19" t="s">
        <v>151</v>
      </c>
      <c r="B283" s="19" t="s">
        <v>206</v>
      </c>
      <c r="C283" s="19" t="s">
        <v>207</v>
      </c>
      <c r="D283" s="19">
        <v>792.82</v>
      </c>
      <c r="E283" s="19">
        <v>11688</v>
      </c>
      <c r="F283" s="19">
        <v>198</v>
      </c>
      <c r="G283" s="19">
        <v>2</v>
      </c>
      <c r="H283" s="19">
        <v>396.41</v>
      </c>
      <c r="I283" s="19">
        <v>18</v>
      </c>
      <c r="J283" s="19">
        <v>44.05</v>
      </c>
      <c r="K283" s="19">
        <v>19</v>
      </c>
      <c r="L283" s="19">
        <v>41.73</v>
      </c>
      <c r="M283" s="19">
        <v>42</v>
      </c>
    </row>
    <row r="284" s="17" customFormat="1" spans="1:13">
      <c r="A284" s="19" t="s">
        <v>152</v>
      </c>
      <c r="B284" s="19" t="s">
        <v>206</v>
      </c>
      <c r="C284" s="19" t="s">
        <v>207</v>
      </c>
      <c r="D284" s="19">
        <v>560.65</v>
      </c>
      <c r="E284" s="19">
        <v>10546</v>
      </c>
      <c r="F284" s="19">
        <v>207</v>
      </c>
      <c r="G284" s="19">
        <v>2</v>
      </c>
      <c r="H284" s="19">
        <v>280.33</v>
      </c>
      <c r="I284" s="19">
        <v>26</v>
      </c>
      <c r="J284" s="19">
        <v>21.56</v>
      </c>
      <c r="K284" s="19">
        <v>30</v>
      </c>
      <c r="L284" s="19">
        <v>18.69</v>
      </c>
      <c r="M284" s="19">
        <v>96</v>
      </c>
    </row>
    <row r="285" s="17" customFormat="1" spans="1:13">
      <c r="A285" s="19" t="s">
        <v>153</v>
      </c>
      <c r="B285" s="19" t="s">
        <v>206</v>
      </c>
      <c r="C285" s="19" t="s">
        <v>207</v>
      </c>
      <c r="D285" s="19">
        <v>403.12</v>
      </c>
      <c r="E285" s="19">
        <v>9905</v>
      </c>
      <c r="F285" s="19">
        <v>215</v>
      </c>
      <c r="G285" s="19">
        <v>2</v>
      </c>
      <c r="H285" s="19">
        <v>201.56</v>
      </c>
      <c r="I285" s="19">
        <v>26</v>
      </c>
      <c r="J285" s="19">
        <v>15.5</v>
      </c>
      <c r="K285" s="19">
        <v>30</v>
      </c>
      <c r="L285" s="19">
        <v>13.44</v>
      </c>
      <c r="M285" s="19">
        <v>154</v>
      </c>
    </row>
    <row r="286" s="17" customFormat="1" spans="1:13">
      <c r="A286" s="19" t="s">
        <v>154</v>
      </c>
      <c r="B286" s="19" t="s">
        <v>206</v>
      </c>
      <c r="C286" s="19" t="s">
        <v>207</v>
      </c>
      <c r="D286" s="19">
        <v>397.05</v>
      </c>
      <c r="E286" s="19">
        <v>9433</v>
      </c>
      <c r="F286" s="19">
        <v>243</v>
      </c>
      <c r="G286" s="19">
        <v>2</v>
      </c>
      <c r="H286" s="19">
        <v>198.53</v>
      </c>
      <c r="I286" s="19">
        <v>25</v>
      </c>
      <c r="J286" s="19">
        <v>15.88</v>
      </c>
      <c r="K286" s="19">
        <v>25</v>
      </c>
      <c r="L286" s="19">
        <v>15.88</v>
      </c>
      <c r="M286" s="19">
        <v>176</v>
      </c>
    </row>
    <row r="287" s="17" customFormat="1" spans="1:13">
      <c r="A287" s="19" t="s">
        <v>155</v>
      </c>
      <c r="B287" s="19" t="s">
        <v>206</v>
      </c>
      <c r="C287" s="19" t="s">
        <v>207</v>
      </c>
      <c r="D287" s="19">
        <v>475.88</v>
      </c>
      <c r="E287" s="19">
        <v>9507</v>
      </c>
      <c r="F287" s="19">
        <v>257</v>
      </c>
      <c r="G287" s="19">
        <v>1</v>
      </c>
      <c r="H287" s="19">
        <v>475.88</v>
      </c>
      <c r="I287" s="19">
        <v>22</v>
      </c>
      <c r="J287" s="19">
        <v>21.63</v>
      </c>
      <c r="K287" s="19">
        <v>24</v>
      </c>
      <c r="L287" s="19">
        <v>19.83</v>
      </c>
      <c r="M287" s="19">
        <v>30</v>
      </c>
    </row>
    <row r="288" s="17" customFormat="1" spans="1:13">
      <c r="A288" s="19" t="s">
        <v>156</v>
      </c>
      <c r="B288" s="19" t="s">
        <v>206</v>
      </c>
      <c r="C288" s="19" t="s">
        <v>207</v>
      </c>
      <c r="D288" s="19">
        <v>13.21</v>
      </c>
      <c r="E288" s="19">
        <v>1074</v>
      </c>
      <c r="F288" s="19">
        <v>22</v>
      </c>
      <c r="G288" s="19">
        <v>1</v>
      </c>
      <c r="H288" s="19">
        <v>13.21</v>
      </c>
      <c r="I288" s="19">
        <v>5</v>
      </c>
      <c r="J288" s="19">
        <v>2.64</v>
      </c>
      <c r="K288" s="19">
        <v>6</v>
      </c>
      <c r="L288" s="19">
        <v>2.2</v>
      </c>
      <c r="M288" s="19">
        <v>9.9</v>
      </c>
    </row>
    <row r="289" s="17" customFormat="1" spans="1:13">
      <c r="A289" s="19" t="s">
        <v>157</v>
      </c>
      <c r="B289" s="19" t="s">
        <v>206</v>
      </c>
      <c r="C289" s="19" t="s">
        <v>207</v>
      </c>
      <c r="D289" s="19">
        <v>89.64</v>
      </c>
      <c r="E289" s="19">
        <v>1229</v>
      </c>
      <c r="F289" s="19">
        <v>20</v>
      </c>
      <c r="G289" s="19">
        <v>0</v>
      </c>
      <c r="H289" s="19">
        <v>0</v>
      </c>
      <c r="I289" s="19">
        <v>8</v>
      </c>
      <c r="J289" s="19">
        <v>11.21</v>
      </c>
      <c r="K289" s="19">
        <v>9</v>
      </c>
      <c r="L289" s="19">
        <v>9.96</v>
      </c>
      <c r="M289" s="19">
        <v>0</v>
      </c>
    </row>
    <row r="290" s="17" customFormat="1" spans="1:13">
      <c r="A290" s="19" t="s">
        <v>158</v>
      </c>
      <c r="B290" s="19" t="s">
        <v>206</v>
      </c>
      <c r="C290" s="19" t="s">
        <v>207</v>
      </c>
      <c r="D290" s="19">
        <v>391.79</v>
      </c>
      <c r="E290" s="19">
        <v>7084</v>
      </c>
      <c r="F290" s="19">
        <v>133</v>
      </c>
      <c r="G290" s="19">
        <v>1</v>
      </c>
      <c r="H290" s="19">
        <v>391.79</v>
      </c>
      <c r="I290" s="19">
        <v>23</v>
      </c>
      <c r="J290" s="19">
        <v>17.03</v>
      </c>
      <c r="K290" s="19">
        <v>27</v>
      </c>
      <c r="L290" s="19">
        <v>14.51</v>
      </c>
      <c r="M290" s="19">
        <v>30</v>
      </c>
    </row>
    <row r="291" s="17" customFormat="1" spans="1:13">
      <c r="A291" s="19" t="s">
        <v>159</v>
      </c>
      <c r="B291" s="19" t="s">
        <v>206</v>
      </c>
      <c r="C291" s="19" t="s">
        <v>207</v>
      </c>
      <c r="D291" s="19">
        <v>176.22</v>
      </c>
      <c r="E291" s="19">
        <v>3910</v>
      </c>
      <c r="F291" s="19">
        <v>79</v>
      </c>
      <c r="G291" s="19">
        <v>0</v>
      </c>
      <c r="H291" s="19">
        <v>0</v>
      </c>
      <c r="I291" s="19">
        <v>10</v>
      </c>
      <c r="J291" s="19">
        <v>17.62</v>
      </c>
      <c r="K291" s="19">
        <v>12</v>
      </c>
      <c r="L291" s="19">
        <v>14.69</v>
      </c>
      <c r="M291" s="19">
        <v>0</v>
      </c>
    </row>
    <row r="292" s="17" customFormat="1" spans="1:13">
      <c r="A292" s="19" t="s">
        <v>160</v>
      </c>
      <c r="B292" s="19" t="s">
        <v>206</v>
      </c>
      <c r="C292" s="19" t="s">
        <v>207</v>
      </c>
      <c r="D292" s="19">
        <v>131.48</v>
      </c>
      <c r="E292" s="19">
        <v>3041</v>
      </c>
      <c r="F292" s="19">
        <v>56</v>
      </c>
      <c r="G292" s="19">
        <v>1</v>
      </c>
      <c r="H292" s="19">
        <v>131.48</v>
      </c>
      <c r="I292" s="19">
        <v>9</v>
      </c>
      <c r="J292" s="19">
        <v>14.61</v>
      </c>
      <c r="K292" s="19">
        <v>9</v>
      </c>
      <c r="L292" s="19">
        <v>14.61</v>
      </c>
      <c r="M292" s="19">
        <v>30</v>
      </c>
    </row>
    <row r="293" s="17" customFormat="1" spans="1:13">
      <c r="A293" s="19" t="s">
        <v>161</v>
      </c>
      <c r="B293" s="19" t="s">
        <v>206</v>
      </c>
      <c r="C293" s="19" t="s">
        <v>207</v>
      </c>
      <c r="D293" s="19">
        <v>125.78</v>
      </c>
      <c r="E293" s="19">
        <v>2214</v>
      </c>
      <c r="F293" s="19">
        <v>53</v>
      </c>
      <c r="G293" s="19">
        <v>0</v>
      </c>
      <c r="H293" s="19">
        <v>0</v>
      </c>
      <c r="I293" s="19">
        <v>8</v>
      </c>
      <c r="J293" s="19">
        <v>15.72</v>
      </c>
      <c r="K293" s="19">
        <v>10</v>
      </c>
      <c r="L293" s="19">
        <v>12.58</v>
      </c>
      <c r="M293" s="19">
        <v>0</v>
      </c>
    </row>
    <row r="294" s="17" customFormat="1" spans="1:13">
      <c r="A294" s="19" t="s">
        <v>162</v>
      </c>
      <c r="B294" s="19" t="s">
        <v>206</v>
      </c>
      <c r="C294" s="19" t="s">
        <v>207</v>
      </c>
      <c r="D294" s="19">
        <v>126.84</v>
      </c>
      <c r="E294" s="19">
        <v>2191</v>
      </c>
      <c r="F294" s="19">
        <v>55</v>
      </c>
      <c r="G294" s="19">
        <v>0</v>
      </c>
      <c r="H294" s="19">
        <v>0</v>
      </c>
      <c r="I294" s="19">
        <v>8</v>
      </c>
      <c r="J294" s="19">
        <v>15.86</v>
      </c>
      <c r="K294" s="19">
        <v>13</v>
      </c>
      <c r="L294" s="19">
        <v>9.76</v>
      </c>
      <c r="M294" s="19">
        <v>0</v>
      </c>
    </row>
    <row r="295" s="17" customFormat="1" spans="1:13">
      <c r="A295" s="19" t="s">
        <v>163</v>
      </c>
      <c r="B295" s="19" t="s">
        <v>206</v>
      </c>
      <c r="C295" s="19" t="s">
        <v>207</v>
      </c>
      <c r="D295" s="19">
        <v>244.15</v>
      </c>
      <c r="E295" s="19">
        <v>3826</v>
      </c>
      <c r="F295" s="19">
        <v>126</v>
      </c>
      <c r="G295" s="19">
        <v>0</v>
      </c>
      <c r="H295" s="19">
        <v>0</v>
      </c>
      <c r="I295" s="19">
        <v>16</v>
      </c>
      <c r="J295" s="19">
        <v>15.26</v>
      </c>
      <c r="K295" s="19">
        <v>22</v>
      </c>
      <c r="L295" s="19">
        <v>11.1</v>
      </c>
      <c r="M295" s="19">
        <v>0</v>
      </c>
    </row>
    <row r="296" s="17" customFormat="1" spans="1:13">
      <c r="A296" s="19" t="s">
        <v>164</v>
      </c>
      <c r="B296" s="19" t="s">
        <v>206</v>
      </c>
      <c r="C296" s="19" t="s">
        <v>207</v>
      </c>
      <c r="D296" s="19">
        <v>313.12</v>
      </c>
      <c r="E296" s="19">
        <v>4647</v>
      </c>
      <c r="F296" s="19">
        <v>120</v>
      </c>
      <c r="G296" s="19">
        <v>1</v>
      </c>
      <c r="H296" s="19">
        <v>313.12</v>
      </c>
      <c r="I296" s="19">
        <v>16</v>
      </c>
      <c r="J296" s="19">
        <v>19.57</v>
      </c>
      <c r="K296" s="19">
        <v>17</v>
      </c>
      <c r="L296" s="19">
        <v>18.42</v>
      </c>
      <c r="M296" s="19">
        <v>6</v>
      </c>
    </row>
    <row r="297" s="17" customFormat="1" spans="1:13">
      <c r="A297" s="19" t="s">
        <v>165</v>
      </c>
      <c r="B297" s="19" t="s">
        <v>206</v>
      </c>
      <c r="C297" s="19" t="s">
        <v>207</v>
      </c>
      <c r="D297" s="19">
        <v>336.7</v>
      </c>
      <c r="E297" s="19">
        <v>4872</v>
      </c>
      <c r="F297" s="19">
        <v>142</v>
      </c>
      <c r="G297" s="19">
        <v>0</v>
      </c>
      <c r="H297" s="19">
        <v>0</v>
      </c>
      <c r="I297" s="19">
        <v>19</v>
      </c>
      <c r="J297" s="19">
        <v>17.72</v>
      </c>
      <c r="K297" s="19">
        <v>24</v>
      </c>
      <c r="L297" s="19">
        <v>14.03</v>
      </c>
      <c r="M297" s="19">
        <v>0</v>
      </c>
    </row>
    <row r="298" s="17" customFormat="1" spans="1:13">
      <c r="A298" s="19" t="s">
        <v>166</v>
      </c>
      <c r="B298" s="19" t="s">
        <v>206</v>
      </c>
      <c r="C298" s="19" t="s">
        <v>207</v>
      </c>
      <c r="D298" s="19">
        <v>337.2</v>
      </c>
      <c r="E298" s="19">
        <v>5980</v>
      </c>
      <c r="F298" s="19">
        <v>133</v>
      </c>
      <c r="G298" s="19">
        <v>3</v>
      </c>
      <c r="H298" s="19">
        <v>112.4</v>
      </c>
      <c r="I298" s="19">
        <v>25</v>
      </c>
      <c r="J298" s="19">
        <v>13.49</v>
      </c>
      <c r="K298" s="19">
        <v>28</v>
      </c>
      <c r="L298" s="19">
        <v>12.04</v>
      </c>
      <c r="M298" s="19">
        <v>47.9</v>
      </c>
    </row>
    <row r="299" s="17" customFormat="1" spans="1:13">
      <c r="A299" s="19" t="s">
        <v>167</v>
      </c>
      <c r="B299" s="19" t="s">
        <v>206</v>
      </c>
      <c r="C299" s="19" t="s">
        <v>207</v>
      </c>
      <c r="D299" s="19">
        <v>467.85</v>
      </c>
      <c r="E299" s="19">
        <v>8365</v>
      </c>
      <c r="F299" s="19">
        <v>192</v>
      </c>
      <c r="G299" s="19">
        <v>3</v>
      </c>
      <c r="H299" s="19">
        <v>155.95</v>
      </c>
      <c r="I299" s="19">
        <v>24</v>
      </c>
      <c r="J299" s="19">
        <v>19.49</v>
      </c>
      <c r="K299" s="19">
        <v>28</v>
      </c>
      <c r="L299" s="19">
        <v>16.71</v>
      </c>
      <c r="M299" s="19">
        <v>24</v>
      </c>
    </row>
    <row r="300" s="17" customFormat="1" spans="1:13">
      <c r="A300" s="19" t="s">
        <v>168</v>
      </c>
      <c r="B300" s="19" t="s">
        <v>206</v>
      </c>
      <c r="C300" s="19" t="s">
        <v>207</v>
      </c>
      <c r="D300" s="19">
        <v>579.12</v>
      </c>
      <c r="E300" s="19">
        <v>11491</v>
      </c>
      <c r="F300" s="19">
        <v>247</v>
      </c>
      <c r="G300" s="19">
        <v>1</v>
      </c>
      <c r="H300" s="19">
        <v>579.12</v>
      </c>
      <c r="I300" s="19">
        <v>30</v>
      </c>
      <c r="J300" s="19">
        <v>19.3</v>
      </c>
      <c r="K300" s="19">
        <v>34</v>
      </c>
      <c r="L300" s="19">
        <v>17.03</v>
      </c>
      <c r="M300" s="19">
        <v>39.9</v>
      </c>
    </row>
    <row r="301" s="17" customFormat="1" spans="1:13">
      <c r="A301" s="19" t="s">
        <v>169</v>
      </c>
      <c r="B301" s="19" t="s">
        <v>206</v>
      </c>
      <c r="C301" s="19" t="s">
        <v>207</v>
      </c>
      <c r="D301" s="19">
        <v>479.04</v>
      </c>
      <c r="E301" s="19">
        <v>8958</v>
      </c>
      <c r="F301" s="19">
        <v>162</v>
      </c>
      <c r="G301" s="19">
        <v>1</v>
      </c>
      <c r="H301" s="19">
        <v>479.04</v>
      </c>
      <c r="I301" s="19">
        <v>10</v>
      </c>
      <c r="J301" s="19">
        <v>47.9</v>
      </c>
      <c r="K301" s="19">
        <v>10</v>
      </c>
      <c r="L301" s="19">
        <v>47.9</v>
      </c>
      <c r="M301" s="19">
        <v>30</v>
      </c>
    </row>
    <row r="302" s="17" customFormat="1" spans="1:13">
      <c r="A302" s="19" t="s">
        <v>170</v>
      </c>
      <c r="B302" s="19" t="s">
        <v>206</v>
      </c>
      <c r="C302" s="19" t="s">
        <v>207</v>
      </c>
      <c r="D302" s="19">
        <v>354.16</v>
      </c>
      <c r="E302" s="19">
        <v>4888</v>
      </c>
      <c r="F302" s="19">
        <v>129</v>
      </c>
      <c r="G302" s="19">
        <v>2</v>
      </c>
      <c r="H302" s="19">
        <v>177.08</v>
      </c>
      <c r="I302" s="19">
        <v>23</v>
      </c>
      <c r="J302" s="19">
        <v>15.4</v>
      </c>
      <c r="K302" s="19">
        <v>27</v>
      </c>
      <c r="L302" s="19">
        <v>13.12</v>
      </c>
      <c r="M302" s="19">
        <v>36</v>
      </c>
    </row>
    <row r="303" s="17" customFormat="1" spans="1:13">
      <c r="A303" s="19" t="s">
        <v>171</v>
      </c>
      <c r="B303" s="19" t="s">
        <v>206</v>
      </c>
      <c r="C303" s="19" t="s">
        <v>207</v>
      </c>
      <c r="D303" s="19">
        <v>274.55</v>
      </c>
      <c r="E303" s="19">
        <v>3512</v>
      </c>
      <c r="F303" s="19">
        <v>68</v>
      </c>
      <c r="G303" s="19">
        <v>1</v>
      </c>
      <c r="H303" s="19">
        <v>274.55</v>
      </c>
      <c r="I303" s="19">
        <v>17</v>
      </c>
      <c r="J303" s="19">
        <v>16.15</v>
      </c>
      <c r="K303" s="19">
        <v>18</v>
      </c>
      <c r="L303" s="19">
        <v>15.25</v>
      </c>
      <c r="M303" s="19">
        <v>383.9</v>
      </c>
    </row>
    <row r="304" s="17" customFormat="1" spans="1:13">
      <c r="A304" s="19" t="s">
        <v>172</v>
      </c>
      <c r="B304" s="19" t="s">
        <v>206</v>
      </c>
      <c r="C304" s="19" t="s">
        <v>207</v>
      </c>
      <c r="D304" s="19">
        <v>200.24</v>
      </c>
      <c r="E304" s="19">
        <v>2885</v>
      </c>
      <c r="F304" s="19">
        <v>68</v>
      </c>
      <c r="G304" s="19">
        <v>1</v>
      </c>
      <c r="H304" s="19">
        <v>200.24</v>
      </c>
      <c r="I304" s="19">
        <v>20</v>
      </c>
      <c r="J304" s="19">
        <v>10.01</v>
      </c>
      <c r="K304" s="19">
        <v>20</v>
      </c>
      <c r="L304" s="19">
        <v>10.01</v>
      </c>
      <c r="M304" s="19">
        <v>276</v>
      </c>
    </row>
    <row r="305" s="17" customFormat="1" spans="1:13">
      <c r="A305" s="19" t="s">
        <v>173</v>
      </c>
      <c r="B305" s="19" t="s">
        <v>206</v>
      </c>
      <c r="C305" s="19" t="s">
        <v>207</v>
      </c>
      <c r="D305" s="19">
        <v>242.63</v>
      </c>
      <c r="E305" s="19">
        <v>3599</v>
      </c>
      <c r="F305" s="19">
        <v>91</v>
      </c>
      <c r="G305" s="19">
        <v>2</v>
      </c>
      <c r="H305" s="19">
        <v>121.32</v>
      </c>
      <c r="I305" s="19">
        <v>15</v>
      </c>
      <c r="J305" s="19">
        <v>16.18</v>
      </c>
      <c r="K305" s="19">
        <v>19</v>
      </c>
      <c r="L305" s="19">
        <v>12.77</v>
      </c>
      <c r="M305" s="19">
        <v>119.9</v>
      </c>
    </row>
    <row r="306" s="17" customFormat="1" spans="1:13">
      <c r="A306" s="19" t="s">
        <v>174</v>
      </c>
      <c r="B306" s="19" t="s">
        <v>206</v>
      </c>
      <c r="C306" s="19" t="s">
        <v>207</v>
      </c>
      <c r="D306" s="19">
        <v>236.08</v>
      </c>
      <c r="E306" s="19">
        <v>3987</v>
      </c>
      <c r="F306" s="19">
        <v>97</v>
      </c>
      <c r="G306" s="19">
        <v>0</v>
      </c>
      <c r="H306" s="19">
        <v>0</v>
      </c>
      <c r="I306" s="19">
        <v>12</v>
      </c>
      <c r="J306" s="19">
        <v>19.67</v>
      </c>
      <c r="K306" s="19">
        <v>14</v>
      </c>
      <c r="L306" s="19">
        <v>16.86</v>
      </c>
      <c r="M306" s="19">
        <v>6</v>
      </c>
    </row>
    <row r="307" s="17" customFormat="1" spans="1:13">
      <c r="A307" s="19" t="s">
        <v>175</v>
      </c>
      <c r="B307" s="19" t="s">
        <v>206</v>
      </c>
      <c r="C307" s="19" t="s">
        <v>207</v>
      </c>
      <c r="D307" s="19">
        <v>215.68</v>
      </c>
      <c r="E307" s="19">
        <v>3170</v>
      </c>
      <c r="F307" s="19">
        <v>58</v>
      </c>
      <c r="G307" s="19">
        <v>1</v>
      </c>
      <c r="H307" s="19">
        <v>215.68</v>
      </c>
      <c r="I307" s="19">
        <v>15</v>
      </c>
      <c r="J307" s="19">
        <v>14.38</v>
      </c>
      <c r="K307" s="19">
        <v>14</v>
      </c>
      <c r="L307" s="19">
        <v>15.41</v>
      </c>
      <c r="M307" s="19">
        <v>75.9</v>
      </c>
    </row>
    <row r="308" s="17" customFormat="1" spans="1:13">
      <c r="A308" s="19" t="s">
        <v>176</v>
      </c>
      <c r="B308" s="19" t="s">
        <v>206</v>
      </c>
      <c r="C308" s="19" t="s">
        <v>207</v>
      </c>
      <c r="D308" s="19">
        <v>183.86</v>
      </c>
      <c r="E308" s="19">
        <v>2933</v>
      </c>
      <c r="F308" s="19">
        <v>53</v>
      </c>
      <c r="G308" s="19">
        <v>0</v>
      </c>
      <c r="H308" s="19">
        <v>0</v>
      </c>
      <c r="I308" s="19">
        <v>11</v>
      </c>
      <c r="J308" s="19">
        <v>16.71</v>
      </c>
      <c r="K308" s="19">
        <v>11</v>
      </c>
      <c r="L308" s="19">
        <v>16.71</v>
      </c>
      <c r="M308" s="19">
        <v>0</v>
      </c>
    </row>
    <row r="309" s="17" customFormat="1" spans="1:13">
      <c r="A309" s="19" t="s">
        <v>177</v>
      </c>
      <c r="B309" s="19" t="s">
        <v>206</v>
      </c>
      <c r="C309" s="19" t="s">
        <v>207</v>
      </c>
      <c r="D309" s="19">
        <v>124.69</v>
      </c>
      <c r="E309" s="19">
        <v>2574</v>
      </c>
      <c r="F309" s="19">
        <v>61</v>
      </c>
      <c r="G309" s="19">
        <v>1</v>
      </c>
      <c r="H309" s="19">
        <v>124.69</v>
      </c>
      <c r="I309" s="19">
        <v>10</v>
      </c>
      <c r="J309" s="19">
        <v>12.47</v>
      </c>
      <c r="K309" s="19">
        <v>12</v>
      </c>
      <c r="L309" s="19">
        <v>10.39</v>
      </c>
      <c r="M309" s="19">
        <v>6</v>
      </c>
    </row>
    <row r="310" s="17" customFormat="1" spans="1:13">
      <c r="A310" s="19" t="s">
        <v>178</v>
      </c>
      <c r="B310" s="19" t="s">
        <v>206</v>
      </c>
      <c r="C310" s="19" t="s">
        <v>207</v>
      </c>
      <c r="D310" s="19">
        <v>154.48</v>
      </c>
      <c r="E310" s="19">
        <v>2781</v>
      </c>
      <c r="F310" s="19">
        <v>66</v>
      </c>
      <c r="G310" s="19">
        <v>0</v>
      </c>
      <c r="H310" s="19">
        <v>0</v>
      </c>
      <c r="I310" s="19">
        <v>5</v>
      </c>
      <c r="J310" s="19">
        <v>30.9</v>
      </c>
      <c r="K310" s="19">
        <v>6</v>
      </c>
      <c r="L310" s="19">
        <v>25.75</v>
      </c>
      <c r="M310" s="19">
        <v>0</v>
      </c>
    </row>
    <row r="311" s="17" customFormat="1" spans="1:13">
      <c r="A311" s="19" t="s">
        <v>179</v>
      </c>
      <c r="B311" s="19" t="s">
        <v>206</v>
      </c>
      <c r="C311" s="19" t="s">
        <v>207</v>
      </c>
      <c r="D311" s="19">
        <v>268.4</v>
      </c>
      <c r="E311" s="19">
        <v>3801</v>
      </c>
      <c r="F311" s="19">
        <v>77</v>
      </c>
      <c r="G311" s="19">
        <v>2</v>
      </c>
      <c r="H311" s="19">
        <v>134.2</v>
      </c>
      <c r="I311" s="19">
        <v>9</v>
      </c>
      <c r="J311" s="19">
        <v>29.82</v>
      </c>
      <c r="K311" s="19">
        <v>9</v>
      </c>
      <c r="L311" s="19">
        <v>29.82</v>
      </c>
      <c r="M311" s="19">
        <v>27.9</v>
      </c>
    </row>
    <row r="312" s="17" customFormat="1" spans="1:13">
      <c r="A312" s="19" t="s">
        <v>180</v>
      </c>
      <c r="B312" s="19" t="s">
        <v>206</v>
      </c>
      <c r="C312" s="19" t="s">
        <v>207</v>
      </c>
      <c r="D312" s="19">
        <v>277.86</v>
      </c>
      <c r="E312" s="19">
        <v>3664</v>
      </c>
      <c r="F312" s="19">
        <v>83</v>
      </c>
      <c r="G312" s="19">
        <v>2</v>
      </c>
      <c r="H312" s="19">
        <v>138.93</v>
      </c>
      <c r="I312" s="19">
        <v>10</v>
      </c>
      <c r="J312" s="19">
        <v>27.79</v>
      </c>
      <c r="K312" s="19">
        <v>10</v>
      </c>
      <c r="L312" s="19">
        <v>27.79</v>
      </c>
      <c r="M312" s="19">
        <v>105.9</v>
      </c>
    </row>
    <row r="313" s="17" customFormat="1" spans="1:13">
      <c r="A313" s="19" t="s">
        <v>181</v>
      </c>
      <c r="B313" s="19" t="s">
        <v>206</v>
      </c>
      <c r="C313" s="19" t="s">
        <v>207</v>
      </c>
      <c r="D313" s="19">
        <v>529.35</v>
      </c>
      <c r="E313" s="19">
        <v>7006</v>
      </c>
      <c r="F313" s="19">
        <v>134</v>
      </c>
      <c r="G313" s="19">
        <v>3</v>
      </c>
      <c r="H313" s="19">
        <v>176.45</v>
      </c>
      <c r="I313" s="19">
        <v>20</v>
      </c>
      <c r="J313" s="19">
        <v>26.47</v>
      </c>
      <c r="K313" s="19">
        <v>25</v>
      </c>
      <c r="L313" s="19">
        <v>21.17</v>
      </c>
      <c r="M313" s="19">
        <v>102</v>
      </c>
    </row>
    <row r="314" s="17" customFormat="1" spans="1:13">
      <c r="A314" s="19" t="s">
        <v>182</v>
      </c>
      <c r="B314" s="19" t="s">
        <v>206</v>
      </c>
      <c r="C314" s="19" t="s">
        <v>207</v>
      </c>
      <c r="D314" s="19">
        <v>278.92</v>
      </c>
      <c r="E314" s="19">
        <v>4126</v>
      </c>
      <c r="F314" s="19">
        <v>81</v>
      </c>
      <c r="G314" s="19">
        <v>0</v>
      </c>
      <c r="H314" s="19">
        <v>0</v>
      </c>
      <c r="I314" s="19">
        <v>9</v>
      </c>
      <c r="J314" s="19">
        <v>30.99</v>
      </c>
      <c r="K314" s="19">
        <v>10</v>
      </c>
      <c r="L314" s="19">
        <v>27.89</v>
      </c>
      <c r="M314" s="19">
        <v>0</v>
      </c>
    </row>
    <row r="315" s="17" customFormat="1" spans="1:13">
      <c r="A315" s="19" t="s">
        <v>183</v>
      </c>
      <c r="B315" s="19" t="s">
        <v>206</v>
      </c>
      <c r="C315" s="19" t="s">
        <v>207</v>
      </c>
      <c r="D315" s="19">
        <v>167.44</v>
      </c>
      <c r="E315" s="19">
        <v>2171</v>
      </c>
      <c r="F315" s="19">
        <v>35</v>
      </c>
      <c r="G315" s="19">
        <v>1</v>
      </c>
      <c r="H315" s="19">
        <v>167.44</v>
      </c>
      <c r="I315" s="19">
        <v>6</v>
      </c>
      <c r="J315" s="19">
        <v>27.91</v>
      </c>
      <c r="K315" s="19">
        <v>7</v>
      </c>
      <c r="L315" s="19">
        <v>23.92</v>
      </c>
      <c r="M315" s="19">
        <v>6</v>
      </c>
    </row>
    <row r="316" s="17" customFormat="1" spans="1:13">
      <c r="A316" s="19" t="s">
        <v>184</v>
      </c>
      <c r="B316" s="19" t="s">
        <v>206</v>
      </c>
      <c r="C316" s="19" t="s">
        <v>207</v>
      </c>
      <c r="D316" s="19">
        <v>113.15</v>
      </c>
      <c r="E316" s="19">
        <v>1705</v>
      </c>
      <c r="F316" s="19">
        <v>35</v>
      </c>
      <c r="G316" s="19">
        <v>0</v>
      </c>
      <c r="H316" s="19">
        <v>0</v>
      </c>
      <c r="I316" s="19">
        <v>2</v>
      </c>
      <c r="J316" s="19">
        <v>56.58</v>
      </c>
      <c r="K316" s="19">
        <v>2</v>
      </c>
      <c r="L316" s="19">
        <v>56.58</v>
      </c>
      <c r="M316" s="19">
        <v>53.9</v>
      </c>
    </row>
    <row r="317" s="17" customFormat="1" spans="1:13">
      <c r="A317" s="19" t="s">
        <v>185</v>
      </c>
      <c r="B317" s="19" t="s">
        <v>206</v>
      </c>
      <c r="C317" s="19" t="s">
        <v>207</v>
      </c>
      <c r="D317" s="19">
        <v>99.69</v>
      </c>
      <c r="E317" s="19">
        <v>1565</v>
      </c>
      <c r="F317" s="19">
        <v>40</v>
      </c>
      <c r="G317" s="19">
        <v>0</v>
      </c>
      <c r="H317" s="19">
        <v>0</v>
      </c>
      <c r="I317" s="19">
        <v>5</v>
      </c>
      <c r="J317" s="19">
        <v>19.94</v>
      </c>
      <c r="K317" s="19">
        <v>5</v>
      </c>
      <c r="L317" s="19">
        <v>19.94</v>
      </c>
      <c r="M317" s="19">
        <v>0</v>
      </c>
    </row>
    <row r="318" s="17" customFormat="1" spans="1:13">
      <c r="A318" s="19" t="s">
        <v>186</v>
      </c>
      <c r="B318" s="19" t="s">
        <v>206</v>
      </c>
      <c r="C318" s="19" t="s">
        <v>207</v>
      </c>
      <c r="D318" s="19">
        <v>105.69</v>
      </c>
      <c r="E318" s="19">
        <v>1456</v>
      </c>
      <c r="F318" s="19">
        <v>38</v>
      </c>
      <c r="G318" s="19">
        <v>1</v>
      </c>
      <c r="H318" s="19">
        <v>105.69</v>
      </c>
      <c r="I318" s="19">
        <v>3</v>
      </c>
      <c r="J318" s="19">
        <v>35.23</v>
      </c>
      <c r="K318" s="19">
        <v>3</v>
      </c>
      <c r="L318" s="19">
        <v>35.23</v>
      </c>
      <c r="M318" s="19">
        <v>59.9</v>
      </c>
    </row>
    <row r="319" s="17" customFormat="1" spans="1:13">
      <c r="A319" s="19" t="s">
        <v>187</v>
      </c>
      <c r="B319" s="19" t="s">
        <v>206</v>
      </c>
      <c r="C319" s="19" t="s">
        <v>207</v>
      </c>
      <c r="D319" s="19">
        <v>120.48</v>
      </c>
      <c r="E319" s="19">
        <v>2295</v>
      </c>
      <c r="F319" s="19">
        <v>52</v>
      </c>
      <c r="G319" s="19">
        <v>0</v>
      </c>
      <c r="H319" s="19">
        <v>0</v>
      </c>
      <c r="I319" s="19">
        <v>5</v>
      </c>
      <c r="J319" s="19">
        <v>24.1</v>
      </c>
      <c r="K319" s="19">
        <v>5</v>
      </c>
      <c r="L319" s="19">
        <v>24.1</v>
      </c>
      <c r="M319" s="19">
        <v>0</v>
      </c>
    </row>
    <row r="320" s="17" customFormat="1" spans="1:13">
      <c r="A320" s="19" t="s">
        <v>188</v>
      </c>
      <c r="B320" s="19" t="s">
        <v>206</v>
      </c>
      <c r="C320" s="19" t="s">
        <v>207</v>
      </c>
      <c r="D320" s="19">
        <v>125.28</v>
      </c>
      <c r="E320" s="19">
        <v>2360</v>
      </c>
      <c r="F320" s="19">
        <v>47</v>
      </c>
      <c r="G320" s="19">
        <v>0</v>
      </c>
      <c r="H320" s="19">
        <v>0</v>
      </c>
      <c r="I320" s="19">
        <v>6</v>
      </c>
      <c r="J320" s="19">
        <v>20.88</v>
      </c>
      <c r="K320" s="19">
        <v>8</v>
      </c>
      <c r="L320" s="19">
        <v>15.66</v>
      </c>
      <c r="M320" s="19">
        <v>0</v>
      </c>
    </row>
    <row r="321" s="17" customFormat="1" spans="1:13">
      <c r="A321" s="19" t="s">
        <v>189</v>
      </c>
      <c r="B321" s="19" t="s">
        <v>206</v>
      </c>
      <c r="C321" s="19" t="s">
        <v>207</v>
      </c>
      <c r="D321" s="19">
        <v>154.73</v>
      </c>
      <c r="E321" s="19">
        <v>2441</v>
      </c>
      <c r="F321" s="19">
        <v>42</v>
      </c>
      <c r="G321" s="19">
        <v>0</v>
      </c>
      <c r="H321" s="19">
        <v>0</v>
      </c>
      <c r="I321" s="19">
        <v>7</v>
      </c>
      <c r="J321" s="19">
        <v>22.1</v>
      </c>
      <c r="K321" s="19">
        <v>9</v>
      </c>
      <c r="L321" s="19">
        <v>17.19</v>
      </c>
      <c r="M321" s="19">
        <v>0</v>
      </c>
    </row>
    <row r="322" s="17" customFormat="1" spans="1:13">
      <c r="A322" s="19" t="s">
        <v>190</v>
      </c>
      <c r="B322" s="19" t="s">
        <v>206</v>
      </c>
      <c r="C322" s="19" t="s">
        <v>207</v>
      </c>
      <c r="D322" s="19">
        <v>190.23</v>
      </c>
      <c r="E322" s="19">
        <v>3668</v>
      </c>
      <c r="F322" s="19">
        <v>64</v>
      </c>
      <c r="G322" s="19">
        <v>2</v>
      </c>
      <c r="H322" s="19">
        <v>95.12</v>
      </c>
      <c r="I322" s="19">
        <v>4</v>
      </c>
      <c r="J322" s="19">
        <v>47.56</v>
      </c>
      <c r="K322" s="19">
        <v>5</v>
      </c>
      <c r="L322" s="19">
        <v>38.05</v>
      </c>
      <c r="M322" s="19">
        <v>36</v>
      </c>
    </row>
    <row r="323" s="17" customFormat="1" spans="1:13">
      <c r="A323" s="19" t="s">
        <v>191</v>
      </c>
      <c r="B323" s="19" t="s">
        <v>206</v>
      </c>
      <c r="C323" s="19" t="s">
        <v>207</v>
      </c>
      <c r="D323" s="19">
        <v>149.92</v>
      </c>
      <c r="E323" s="19">
        <v>2971</v>
      </c>
      <c r="F323" s="19">
        <v>57</v>
      </c>
      <c r="G323" s="19">
        <v>0</v>
      </c>
      <c r="H323" s="19">
        <v>0</v>
      </c>
      <c r="I323" s="19">
        <v>9</v>
      </c>
      <c r="J323" s="19">
        <v>16.66</v>
      </c>
      <c r="K323" s="19">
        <v>9</v>
      </c>
      <c r="L323" s="19">
        <v>16.66</v>
      </c>
      <c r="M323" s="19">
        <v>0</v>
      </c>
    </row>
    <row r="324" s="17" customFormat="1" spans="1:13">
      <c r="A324" s="19" t="s">
        <v>192</v>
      </c>
      <c r="B324" s="19" t="s">
        <v>206</v>
      </c>
      <c r="C324" s="19" t="s">
        <v>207</v>
      </c>
      <c r="D324" s="19">
        <v>151.99</v>
      </c>
      <c r="E324" s="19">
        <v>2381</v>
      </c>
      <c r="F324" s="19">
        <v>54</v>
      </c>
      <c r="G324" s="19">
        <v>1</v>
      </c>
      <c r="H324" s="19">
        <v>151.99</v>
      </c>
      <c r="I324" s="19">
        <v>9</v>
      </c>
      <c r="J324" s="19">
        <v>16.89</v>
      </c>
      <c r="K324" s="19">
        <v>11</v>
      </c>
      <c r="L324" s="19">
        <v>13.82</v>
      </c>
      <c r="M324" s="19">
        <v>9.9</v>
      </c>
    </row>
    <row r="325" s="17" customFormat="1" spans="1:13">
      <c r="A325" s="19" t="s">
        <v>193</v>
      </c>
      <c r="B325" s="19" t="s">
        <v>206</v>
      </c>
      <c r="C325" s="19" t="s">
        <v>207</v>
      </c>
      <c r="D325" s="19">
        <v>179.8</v>
      </c>
      <c r="E325" s="19">
        <v>2266</v>
      </c>
      <c r="F325" s="19">
        <v>47</v>
      </c>
      <c r="G325" s="19">
        <v>0</v>
      </c>
      <c r="H325" s="19">
        <v>0</v>
      </c>
      <c r="I325" s="19">
        <v>12</v>
      </c>
      <c r="J325" s="19">
        <v>14.98</v>
      </c>
      <c r="K325" s="19">
        <v>13</v>
      </c>
      <c r="L325" s="19">
        <v>13.83</v>
      </c>
      <c r="M325" s="19">
        <v>0</v>
      </c>
    </row>
    <row r="326" s="17" customFormat="1" spans="1:13">
      <c r="A326" s="19" t="s">
        <v>194</v>
      </c>
      <c r="B326" s="19" t="s">
        <v>206</v>
      </c>
      <c r="C326" s="19" t="s">
        <v>207</v>
      </c>
      <c r="D326" s="19">
        <v>126.25</v>
      </c>
      <c r="E326" s="19">
        <v>1919</v>
      </c>
      <c r="F326" s="19">
        <v>45</v>
      </c>
      <c r="G326" s="19">
        <v>0</v>
      </c>
      <c r="H326" s="19">
        <v>0</v>
      </c>
      <c r="I326" s="19">
        <v>10</v>
      </c>
      <c r="J326" s="19">
        <v>12.63</v>
      </c>
      <c r="K326" s="19">
        <v>11</v>
      </c>
      <c r="L326" s="19">
        <v>11.48</v>
      </c>
      <c r="M326" s="19">
        <v>0</v>
      </c>
    </row>
    <row r="327" s="17" customFormat="1" spans="1:13">
      <c r="A327" s="19" t="s">
        <v>195</v>
      </c>
      <c r="B327" s="19" t="s">
        <v>206</v>
      </c>
      <c r="C327" s="19" t="s">
        <v>207</v>
      </c>
      <c r="D327" s="19">
        <v>165.67</v>
      </c>
      <c r="E327" s="19">
        <v>2101</v>
      </c>
      <c r="F327" s="19">
        <v>59</v>
      </c>
      <c r="G327" s="19">
        <v>0</v>
      </c>
      <c r="H327" s="19">
        <v>0</v>
      </c>
      <c r="I327" s="19">
        <v>17</v>
      </c>
      <c r="J327" s="19">
        <v>9.75</v>
      </c>
      <c r="K327" s="19">
        <v>20</v>
      </c>
      <c r="L327" s="19">
        <v>8.28</v>
      </c>
      <c r="M327" s="19">
        <v>0</v>
      </c>
    </row>
    <row r="328" s="17" customFormat="1" spans="1:13">
      <c r="A328" s="19" t="s">
        <v>196</v>
      </c>
      <c r="B328" s="19" t="s">
        <v>206</v>
      </c>
      <c r="C328" s="19" t="s">
        <v>207</v>
      </c>
      <c r="D328" s="19">
        <v>141.39</v>
      </c>
      <c r="E328" s="19">
        <v>2182</v>
      </c>
      <c r="F328" s="19">
        <v>50</v>
      </c>
      <c r="G328" s="19">
        <v>2</v>
      </c>
      <c r="H328" s="19">
        <v>70.7</v>
      </c>
      <c r="I328" s="19">
        <v>7</v>
      </c>
      <c r="J328" s="19">
        <v>20.2</v>
      </c>
      <c r="K328" s="19">
        <v>7</v>
      </c>
      <c r="L328" s="19">
        <v>20.2</v>
      </c>
      <c r="M328" s="19">
        <v>165.9</v>
      </c>
    </row>
    <row r="329" s="17" customFormat="1" spans="1:13">
      <c r="A329" s="19" t="s">
        <v>197</v>
      </c>
      <c r="B329" s="19" t="s">
        <v>206</v>
      </c>
      <c r="C329" s="19" t="s">
        <v>207</v>
      </c>
      <c r="D329" s="19">
        <v>217.5</v>
      </c>
      <c r="E329" s="19">
        <v>2784</v>
      </c>
      <c r="F329" s="19">
        <v>53</v>
      </c>
      <c r="G329" s="19">
        <v>7</v>
      </c>
      <c r="H329" s="19">
        <v>31.07</v>
      </c>
      <c r="I329" s="19">
        <v>19</v>
      </c>
      <c r="J329" s="19">
        <v>11.45</v>
      </c>
      <c r="K329" s="19">
        <v>19</v>
      </c>
      <c r="L329" s="19">
        <v>11.45</v>
      </c>
      <c r="M329" s="19">
        <v>186</v>
      </c>
    </row>
    <row r="330" s="17" customFormat="1" spans="1:13">
      <c r="A330" s="19" t="s">
        <v>198</v>
      </c>
      <c r="B330" s="19" t="s">
        <v>206</v>
      </c>
      <c r="C330" s="19" t="s">
        <v>207</v>
      </c>
      <c r="D330" s="19">
        <v>1053.4</v>
      </c>
      <c r="E330" s="19">
        <v>11255</v>
      </c>
      <c r="F330" s="19">
        <v>262</v>
      </c>
      <c r="G330" s="19">
        <v>4</v>
      </c>
      <c r="H330" s="19">
        <v>263.35</v>
      </c>
      <c r="I330" s="19">
        <v>38</v>
      </c>
      <c r="J330" s="19">
        <v>27.72</v>
      </c>
      <c r="K330" s="19">
        <v>48</v>
      </c>
      <c r="L330" s="19">
        <v>21.95</v>
      </c>
      <c r="M330" s="19">
        <v>108</v>
      </c>
    </row>
    <row r="331" s="17" customFormat="1" spans="1:13">
      <c r="A331" s="19" t="s">
        <v>199</v>
      </c>
      <c r="B331" s="19" t="s">
        <v>206</v>
      </c>
      <c r="C331" s="19" t="s">
        <v>207</v>
      </c>
      <c r="D331" s="19">
        <v>1086.56</v>
      </c>
      <c r="E331" s="19">
        <v>14347</v>
      </c>
      <c r="F331" s="19">
        <v>272</v>
      </c>
      <c r="G331" s="19">
        <v>2</v>
      </c>
      <c r="H331" s="19">
        <v>543.28</v>
      </c>
      <c r="I331" s="19">
        <v>62</v>
      </c>
      <c r="J331" s="19">
        <v>17.53</v>
      </c>
      <c r="K331" s="19">
        <v>66</v>
      </c>
      <c r="L331" s="19">
        <v>16.46</v>
      </c>
      <c r="M331" s="19">
        <v>48</v>
      </c>
    </row>
    <row r="332" s="17" customFormat="1" spans="1:13">
      <c r="A332" s="19" t="s">
        <v>200</v>
      </c>
      <c r="B332" s="19" t="s">
        <v>206</v>
      </c>
      <c r="C332" s="19" t="s">
        <v>207</v>
      </c>
      <c r="D332" s="19">
        <v>748.67</v>
      </c>
      <c r="E332" s="19">
        <v>13447</v>
      </c>
      <c r="F332" s="19">
        <v>252</v>
      </c>
      <c r="G332" s="19">
        <v>2</v>
      </c>
      <c r="H332" s="19">
        <v>374.34</v>
      </c>
      <c r="I332" s="19">
        <v>39</v>
      </c>
      <c r="J332" s="19">
        <v>19.2</v>
      </c>
      <c r="K332" s="19">
        <v>46</v>
      </c>
      <c r="L332" s="19">
        <v>16.28</v>
      </c>
      <c r="M332" s="19">
        <v>18</v>
      </c>
    </row>
    <row r="333" s="17" customFormat="1" spans="1:13">
      <c r="A333" s="19" t="s">
        <v>201</v>
      </c>
      <c r="B333" s="19" t="s">
        <v>206</v>
      </c>
      <c r="C333" s="19" t="s">
        <v>207</v>
      </c>
      <c r="D333" s="19">
        <v>814.5</v>
      </c>
      <c r="E333" s="19">
        <v>15105</v>
      </c>
      <c r="F333" s="19">
        <v>295</v>
      </c>
      <c r="G333" s="19">
        <v>1</v>
      </c>
      <c r="H333" s="19">
        <v>814.5</v>
      </c>
      <c r="I333" s="19">
        <v>35</v>
      </c>
      <c r="J333" s="19">
        <v>23.27</v>
      </c>
      <c r="K333" s="19">
        <v>41</v>
      </c>
      <c r="L333" s="19">
        <v>19.87</v>
      </c>
      <c r="M333" s="19">
        <v>36</v>
      </c>
    </row>
    <row r="334" s="17" customFormat="1" spans="1:13">
      <c r="A334" s="19" t="s">
        <v>202</v>
      </c>
      <c r="B334" s="19" t="s">
        <v>206</v>
      </c>
      <c r="C334" s="19" t="s">
        <v>207</v>
      </c>
      <c r="D334" s="19">
        <v>503.15</v>
      </c>
      <c r="E334" s="19">
        <v>10474</v>
      </c>
      <c r="F334" s="19">
        <v>268</v>
      </c>
      <c r="G334" s="19">
        <v>2</v>
      </c>
      <c r="H334" s="19">
        <v>251.58</v>
      </c>
      <c r="I334" s="19">
        <v>35</v>
      </c>
      <c r="J334" s="19">
        <v>14.38</v>
      </c>
      <c r="K334" s="19">
        <v>37</v>
      </c>
      <c r="L334" s="19">
        <v>13.6</v>
      </c>
      <c r="M334" s="19">
        <v>42</v>
      </c>
    </row>
    <row r="335" s="17" customFormat="1" spans="1:13">
      <c r="A335" s="19" t="s">
        <v>203</v>
      </c>
      <c r="B335" s="19" t="s">
        <v>206</v>
      </c>
      <c r="C335" s="19" t="s">
        <v>207</v>
      </c>
      <c r="D335" s="19">
        <v>405.59</v>
      </c>
      <c r="E335" s="19">
        <v>7346</v>
      </c>
      <c r="F335" s="19">
        <v>194</v>
      </c>
      <c r="G335" s="19">
        <v>3</v>
      </c>
      <c r="H335" s="19">
        <v>135.2</v>
      </c>
      <c r="I335" s="19">
        <v>22</v>
      </c>
      <c r="J335" s="19">
        <v>18.44</v>
      </c>
      <c r="K335" s="19">
        <v>27</v>
      </c>
      <c r="L335" s="19">
        <v>15.02</v>
      </c>
      <c r="M335" s="19">
        <v>435.9</v>
      </c>
    </row>
    <row r="336" s="17" customFormat="1" spans="1:13">
      <c r="A336" s="19" t="s">
        <v>204</v>
      </c>
      <c r="B336" s="19" t="s">
        <v>206</v>
      </c>
      <c r="C336" s="19" t="s">
        <v>207</v>
      </c>
      <c r="D336" s="19">
        <v>50.04</v>
      </c>
      <c r="E336" s="19">
        <v>1121</v>
      </c>
      <c r="F336" s="19">
        <v>29</v>
      </c>
      <c r="G336" s="19">
        <v>3</v>
      </c>
      <c r="H336" s="19">
        <v>16.68</v>
      </c>
      <c r="I336" s="19">
        <v>11</v>
      </c>
      <c r="J336" s="19">
        <v>4.55</v>
      </c>
      <c r="K336" s="19">
        <v>12</v>
      </c>
      <c r="L336" s="19">
        <v>4.17</v>
      </c>
      <c r="M336" s="19">
        <v>458</v>
      </c>
    </row>
    <row r="337" s="17" customFormat="1" spans="1:13">
      <c r="A337" s="19" t="s">
        <v>205</v>
      </c>
      <c r="B337" s="19" t="s">
        <v>206</v>
      </c>
      <c r="C337" s="19" t="s">
        <v>207</v>
      </c>
      <c r="D337" s="19">
        <v>551.98</v>
      </c>
      <c r="E337" s="19">
        <v>9546</v>
      </c>
      <c r="F337" s="19">
        <v>204</v>
      </c>
      <c r="G337" s="19">
        <v>5</v>
      </c>
      <c r="H337" s="19">
        <v>110.4</v>
      </c>
      <c r="I337" s="19">
        <v>28</v>
      </c>
      <c r="J337" s="19">
        <v>19.71</v>
      </c>
      <c r="K337" s="19">
        <v>31</v>
      </c>
      <c r="L337" s="19">
        <v>17.81</v>
      </c>
      <c r="M337" s="19">
        <v>147.8</v>
      </c>
    </row>
    <row r="338" s="17" customFormat="1" spans="1:13">
      <c r="A338" s="19" t="s">
        <v>36</v>
      </c>
      <c r="B338" s="19" t="s">
        <v>208</v>
      </c>
      <c r="C338" s="19" t="s">
        <v>209</v>
      </c>
      <c r="D338" s="19">
        <v>0</v>
      </c>
      <c r="E338" s="19">
        <v>0</v>
      </c>
      <c r="F338" s="19">
        <v>0</v>
      </c>
      <c r="G338" s="19">
        <v>0</v>
      </c>
      <c r="H338" s="19">
        <v>0</v>
      </c>
      <c r="I338" s="19">
        <v>0</v>
      </c>
      <c r="J338" s="19">
        <v>0</v>
      </c>
      <c r="K338" s="19">
        <v>0</v>
      </c>
      <c r="L338" s="19">
        <v>0</v>
      </c>
      <c r="M338" s="19">
        <v>0</v>
      </c>
    </row>
    <row r="339" s="17" customFormat="1" spans="1:13">
      <c r="A339" s="19" t="s">
        <v>62</v>
      </c>
      <c r="B339" s="19" t="s">
        <v>208</v>
      </c>
      <c r="C339" s="19" t="s">
        <v>209</v>
      </c>
      <c r="D339" s="19">
        <v>0</v>
      </c>
      <c r="E339" s="19">
        <v>0</v>
      </c>
      <c r="F339" s="19">
        <v>0</v>
      </c>
      <c r="G339" s="19">
        <v>0</v>
      </c>
      <c r="H339" s="19">
        <v>0</v>
      </c>
      <c r="I339" s="19">
        <v>0</v>
      </c>
      <c r="J339" s="19">
        <v>0</v>
      </c>
      <c r="K339" s="19">
        <v>0</v>
      </c>
      <c r="L339" s="19">
        <v>0</v>
      </c>
      <c r="M339" s="19">
        <v>0</v>
      </c>
    </row>
    <row r="340" s="17" customFormat="1" spans="1:13">
      <c r="A340" s="19" t="s">
        <v>103</v>
      </c>
      <c r="B340" s="19" t="s">
        <v>208</v>
      </c>
      <c r="C340" s="19" t="s">
        <v>209</v>
      </c>
      <c r="D340" s="19">
        <v>0</v>
      </c>
      <c r="E340" s="19">
        <v>0</v>
      </c>
      <c r="F340" s="19">
        <v>0</v>
      </c>
      <c r="G340" s="19">
        <v>0</v>
      </c>
      <c r="H340" s="19">
        <v>0</v>
      </c>
      <c r="I340" s="19">
        <v>0</v>
      </c>
      <c r="J340" s="19">
        <v>0</v>
      </c>
      <c r="K340" s="19">
        <v>0</v>
      </c>
      <c r="L340" s="19">
        <v>0</v>
      </c>
      <c r="M340" s="19">
        <v>0</v>
      </c>
    </row>
    <row r="341" s="17" customFormat="1" spans="1:13">
      <c r="A341" s="19" t="s">
        <v>114</v>
      </c>
      <c r="B341" s="19" t="s">
        <v>208</v>
      </c>
      <c r="C341" s="19" t="s">
        <v>209</v>
      </c>
      <c r="D341" s="19">
        <v>0</v>
      </c>
      <c r="E341" s="19">
        <v>0</v>
      </c>
      <c r="F341" s="19">
        <v>0</v>
      </c>
      <c r="G341" s="19">
        <v>0</v>
      </c>
      <c r="H341" s="19">
        <v>0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</row>
    <row r="342" s="17" customFormat="1" spans="1:13">
      <c r="A342" s="19" t="s">
        <v>43</v>
      </c>
      <c r="B342" s="19" t="s">
        <v>210</v>
      </c>
      <c r="C342" s="19" t="s">
        <v>211</v>
      </c>
      <c r="D342" s="19">
        <v>0</v>
      </c>
      <c r="E342" s="19">
        <v>0</v>
      </c>
      <c r="F342" s="19">
        <v>0</v>
      </c>
      <c r="G342" s="19">
        <v>0</v>
      </c>
      <c r="H342" s="19">
        <v>0</v>
      </c>
      <c r="I342" s="19">
        <v>0</v>
      </c>
      <c r="J342" s="19">
        <v>0</v>
      </c>
      <c r="K342" s="19">
        <v>0</v>
      </c>
      <c r="L342" s="19">
        <v>0</v>
      </c>
      <c r="M342" s="19">
        <v>0</v>
      </c>
    </row>
    <row r="343" s="17" customFormat="1" spans="1:13">
      <c r="A343" s="19" t="s">
        <v>47</v>
      </c>
      <c r="B343" s="19" t="s">
        <v>210</v>
      </c>
      <c r="C343" s="19" t="s">
        <v>211</v>
      </c>
      <c r="D343" s="19">
        <v>0</v>
      </c>
      <c r="E343" s="19">
        <v>0</v>
      </c>
      <c r="F343" s="19">
        <v>0</v>
      </c>
      <c r="G343" s="19">
        <v>0</v>
      </c>
      <c r="H343" s="19">
        <v>0</v>
      </c>
      <c r="I343" s="19">
        <v>0</v>
      </c>
      <c r="J343" s="19">
        <v>0</v>
      </c>
      <c r="K343" s="19">
        <v>0</v>
      </c>
      <c r="L343" s="19">
        <v>0</v>
      </c>
      <c r="M343" s="19">
        <v>0</v>
      </c>
    </row>
    <row r="344" s="17" customFormat="1" spans="1:13">
      <c r="A344" s="19" t="s">
        <v>50</v>
      </c>
      <c r="B344" s="19" t="s">
        <v>210</v>
      </c>
      <c r="C344" s="19" t="s">
        <v>211</v>
      </c>
      <c r="D344" s="19">
        <v>0</v>
      </c>
      <c r="E344" s="19">
        <v>0</v>
      </c>
      <c r="F344" s="19">
        <v>0</v>
      </c>
      <c r="G344" s="19">
        <v>0</v>
      </c>
      <c r="H344" s="19">
        <v>0</v>
      </c>
      <c r="I344" s="19">
        <v>0</v>
      </c>
      <c r="J344" s="19">
        <v>0</v>
      </c>
      <c r="K344" s="19">
        <v>0</v>
      </c>
      <c r="L344" s="19">
        <v>0</v>
      </c>
      <c r="M344" s="19">
        <v>0</v>
      </c>
    </row>
    <row r="345" s="17" customFormat="1" spans="1:13">
      <c r="A345" s="19" t="s">
        <v>54</v>
      </c>
      <c r="B345" s="19" t="s">
        <v>210</v>
      </c>
      <c r="C345" s="19" t="s">
        <v>211</v>
      </c>
      <c r="D345" s="19">
        <v>0</v>
      </c>
      <c r="E345" s="19">
        <v>0</v>
      </c>
      <c r="F345" s="19">
        <v>0</v>
      </c>
      <c r="G345" s="19">
        <v>0</v>
      </c>
      <c r="H345" s="19">
        <v>0</v>
      </c>
      <c r="I345" s="19">
        <v>0</v>
      </c>
      <c r="J345" s="19">
        <v>0</v>
      </c>
      <c r="K345" s="19">
        <v>0</v>
      </c>
      <c r="L345" s="19">
        <v>0</v>
      </c>
      <c r="M345" s="19">
        <v>0</v>
      </c>
    </row>
    <row r="346" s="17" customFormat="1" spans="1:13">
      <c r="A346" s="19" t="s">
        <v>62</v>
      </c>
      <c r="B346" s="19" t="s">
        <v>210</v>
      </c>
      <c r="C346" s="19" t="s">
        <v>211</v>
      </c>
      <c r="D346" s="19">
        <v>0</v>
      </c>
      <c r="E346" s="19">
        <v>0</v>
      </c>
      <c r="F346" s="19">
        <v>0</v>
      </c>
      <c r="G346" s="19">
        <v>0</v>
      </c>
      <c r="H346" s="19">
        <v>0</v>
      </c>
      <c r="I346" s="19">
        <v>0</v>
      </c>
      <c r="J346" s="19">
        <v>0</v>
      </c>
      <c r="K346" s="19">
        <v>0</v>
      </c>
      <c r="L346" s="19">
        <v>0</v>
      </c>
      <c r="M346" s="19">
        <v>0</v>
      </c>
    </row>
    <row r="347" s="17" customFormat="1" spans="1:13">
      <c r="A347" s="19" t="s">
        <v>70</v>
      </c>
      <c r="B347" s="19" t="s">
        <v>210</v>
      </c>
      <c r="C347" s="19" t="s">
        <v>211</v>
      </c>
      <c r="D347" s="19">
        <v>0</v>
      </c>
      <c r="E347" s="19">
        <v>0</v>
      </c>
      <c r="F347" s="19">
        <v>0</v>
      </c>
      <c r="G347" s="19">
        <v>0</v>
      </c>
      <c r="H347" s="19">
        <v>0</v>
      </c>
      <c r="I347" s="19">
        <v>0</v>
      </c>
      <c r="J347" s="19">
        <v>0</v>
      </c>
      <c r="K347" s="19">
        <v>0</v>
      </c>
      <c r="L347" s="19">
        <v>0</v>
      </c>
      <c r="M347" s="19">
        <v>0</v>
      </c>
    </row>
    <row r="348" s="17" customFormat="1" spans="1:13">
      <c r="A348" s="19" t="s">
        <v>80</v>
      </c>
      <c r="B348" s="19" t="s">
        <v>210</v>
      </c>
      <c r="C348" s="19" t="s">
        <v>211</v>
      </c>
      <c r="D348" s="19">
        <v>0</v>
      </c>
      <c r="E348" s="19">
        <v>0</v>
      </c>
      <c r="F348" s="19">
        <v>0</v>
      </c>
      <c r="G348" s="19">
        <v>0</v>
      </c>
      <c r="H348" s="19">
        <v>0</v>
      </c>
      <c r="I348" s="19">
        <v>0</v>
      </c>
      <c r="J348" s="19">
        <v>0</v>
      </c>
      <c r="K348" s="19">
        <v>0</v>
      </c>
      <c r="L348" s="19">
        <v>0</v>
      </c>
      <c r="M348" s="19">
        <v>0</v>
      </c>
    </row>
    <row r="349" s="17" customFormat="1" spans="1:13">
      <c r="A349" s="19" t="s">
        <v>93</v>
      </c>
      <c r="B349" s="19" t="s">
        <v>210</v>
      </c>
      <c r="C349" s="19" t="s">
        <v>211</v>
      </c>
      <c r="D349" s="19">
        <v>0</v>
      </c>
      <c r="E349" s="19">
        <v>0</v>
      </c>
      <c r="F349" s="19">
        <v>0</v>
      </c>
      <c r="G349" s="19">
        <v>0</v>
      </c>
      <c r="H349" s="19">
        <v>0</v>
      </c>
      <c r="I349" s="19">
        <v>0</v>
      </c>
      <c r="J349" s="19">
        <v>0</v>
      </c>
      <c r="K349" s="19">
        <v>0</v>
      </c>
      <c r="L349" s="19">
        <v>0</v>
      </c>
      <c r="M349" s="19">
        <v>0</v>
      </c>
    </row>
    <row r="350" s="17" customFormat="1" spans="1:13">
      <c r="A350" s="19" t="s">
        <v>96</v>
      </c>
      <c r="B350" s="19" t="s">
        <v>210</v>
      </c>
      <c r="C350" s="19" t="s">
        <v>211</v>
      </c>
      <c r="D350" s="19">
        <v>0</v>
      </c>
      <c r="E350" s="19">
        <v>0</v>
      </c>
      <c r="F350" s="19">
        <v>0</v>
      </c>
      <c r="G350" s="19">
        <v>0</v>
      </c>
      <c r="H350" s="19">
        <v>0</v>
      </c>
      <c r="I350" s="19">
        <v>0</v>
      </c>
      <c r="J350" s="19">
        <v>0</v>
      </c>
      <c r="K350" s="19">
        <v>0</v>
      </c>
      <c r="L350" s="19">
        <v>0</v>
      </c>
      <c r="M350" s="19">
        <v>0</v>
      </c>
    </row>
    <row r="351" s="17" customFormat="1" spans="1:13">
      <c r="A351" s="19" t="s">
        <v>122</v>
      </c>
      <c r="B351" s="19" t="s">
        <v>210</v>
      </c>
      <c r="C351" s="19" t="s">
        <v>211</v>
      </c>
      <c r="D351" s="19">
        <v>0</v>
      </c>
      <c r="E351" s="19">
        <v>0</v>
      </c>
      <c r="F351" s="19">
        <v>0</v>
      </c>
      <c r="G351" s="19">
        <v>0</v>
      </c>
      <c r="H351" s="19">
        <v>0</v>
      </c>
      <c r="I351" s="19">
        <v>0</v>
      </c>
      <c r="J351" s="19">
        <v>0</v>
      </c>
      <c r="K351" s="19">
        <v>0</v>
      </c>
      <c r="L351" s="19">
        <v>0</v>
      </c>
      <c r="M351" s="19">
        <v>0</v>
      </c>
    </row>
    <row r="352" s="17" customFormat="1" spans="1:13">
      <c r="A352" s="19" t="s">
        <v>145</v>
      </c>
      <c r="B352" s="19" t="s">
        <v>210</v>
      </c>
      <c r="C352" s="19" t="s">
        <v>211</v>
      </c>
      <c r="D352" s="19">
        <v>0</v>
      </c>
      <c r="E352" s="19">
        <v>0</v>
      </c>
      <c r="F352" s="19">
        <v>0</v>
      </c>
      <c r="G352" s="19">
        <v>0</v>
      </c>
      <c r="H352" s="19">
        <v>0</v>
      </c>
      <c r="I352" s="19">
        <v>0</v>
      </c>
      <c r="J352" s="19">
        <v>0</v>
      </c>
      <c r="K352" s="19">
        <v>0</v>
      </c>
      <c r="L352" s="19">
        <v>0</v>
      </c>
      <c r="M352" s="19">
        <v>0</v>
      </c>
    </row>
    <row r="353" s="17" customFormat="1" spans="1:13">
      <c r="A353" s="19" t="s">
        <v>159</v>
      </c>
      <c r="B353" s="19" t="s">
        <v>210</v>
      </c>
      <c r="C353" s="19" t="s">
        <v>211</v>
      </c>
      <c r="D353" s="19">
        <v>0</v>
      </c>
      <c r="E353" s="19">
        <v>0</v>
      </c>
      <c r="F353" s="19">
        <v>0</v>
      </c>
      <c r="G353" s="19">
        <v>0</v>
      </c>
      <c r="H353" s="19">
        <v>0</v>
      </c>
      <c r="I353" s="19">
        <v>0</v>
      </c>
      <c r="J353" s="19">
        <v>0</v>
      </c>
      <c r="K353" s="19">
        <v>0</v>
      </c>
      <c r="L353" s="19">
        <v>0</v>
      </c>
      <c r="M353" s="19">
        <v>0</v>
      </c>
    </row>
    <row r="354" s="17" customFormat="1" spans="1:13">
      <c r="A354" s="19" t="s">
        <v>36</v>
      </c>
      <c r="B354" s="19" t="s">
        <v>212</v>
      </c>
      <c r="C354" s="19" t="s">
        <v>213</v>
      </c>
      <c r="D354" s="19">
        <v>134.9</v>
      </c>
      <c r="E354" s="19">
        <v>2217</v>
      </c>
      <c r="F354" s="19">
        <v>41</v>
      </c>
      <c r="G354" s="19">
        <v>1</v>
      </c>
      <c r="H354" s="19">
        <v>134.9</v>
      </c>
      <c r="I354" s="19">
        <v>11</v>
      </c>
      <c r="J354" s="19">
        <v>12.26</v>
      </c>
      <c r="K354" s="19">
        <v>14</v>
      </c>
      <c r="L354" s="19">
        <v>9.64</v>
      </c>
      <c r="M354" s="19">
        <v>6</v>
      </c>
    </row>
    <row r="355" s="17" customFormat="1" spans="1:13">
      <c r="A355" s="19" t="s">
        <v>39</v>
      </c>
      <c r="B355" s="19" t="s">
        <v>212</v>
      </c>
      <c r="C355" s="19" t="s">
        <v>213</v>
      </c>
      <c r="D355" s="19">
        <v>95.17</v>
      </c>
      <c r="E355" s="19">
        <v>1275</v>
      </c>
      <c r="F355" s="19">
        <v>28</v>
      </c>
      <c r="G355" s="19">
        <v>1</v>
      </c>
      <c r="H355" s="19">
        <v>95.17</v>
      </c>
      <c r="I355" s="19">
        <v>9</v>
      </c>
      <c r="J355" s="19">
        <v>10.57</v>
      </c>
      <c r="K355" s="19">
        <v>11</v>
      </c>
      <c r="L355" s="19">
        <v>8.65</v>
      </c>
      <c r="M355" s="19">
        <v>30</v>
      </c>
    </row>
    <row r="356" s="17" customFormat="1" spans="1:13">
      <c r="A356" s="19" t="s">
        <v>40</v>
      </c>
      <c r="B356" s="19" t="s">
        <v>212</v>
      </c>
      <c r="C356" s="19" t="s">
        <v>213</v>
      </c>
      <c r="D356" s="19">
        <v>80.68</v>
      </c>
      <c r="E356" s="19">
        <v>1138</v>
      </c>
      <c r="F356" s="19">
        <v>28</v>
      </c>
      <c r="G356" s="19">
        <v>1</v>
      </c>
      <c r="H356" s="19">
        <v>80.68</v>
      </c>
      <c r="I356" s="19">
        <v>13</v>
      </c>
      <c r="J356" s="19">
        <v>6.21</v>
      </c>
      <c r="K356" s="19">
        <v>13</v>
      </c>
      <c r="L356" s="19">
        <v>6.21</v>
      </c>
      <c r="M356" s="19">
        <v>12</v>
      </c>
    </row>
    <row r="357" s="17" customFormat="1" spans="1:13">
      <c r="A357" s="19" t="s">
        <v>41</v>
      </c>
      <c r="B357" s="19" t="s">
        <v>212</v>
      </c>
      <c r="C357" s="19" t="s">
        <v>213</v>
      </c>
      <c r="D357" s="19">
        <v>89.97</v>
      </c>
      <c r="E357" s="19">
        <v>889</v>
      </c>
      <c r="F357" s="19">
        <v>28</v>
      </c>
      <c r="G357" s="19">
        <v>0</v>
      </c>
      <c r="H357" s="19">
        <v>0</v>
      </c>
      <c r="I357" s="19">
        <v>7</v>
      </c>
      <c r="J357" s="19">
        <v>12.85</v>
      </c>
      <c r="K357" s="19">
        <v>10</v>
      </c>
      <c r="L357" s="19">
        <v>9</v>
      </c>
      <c r="M357" s="19">
        <v>0</v>
      </c>
    </row>
    <row r="358" s="17" customFormat="1" spans="1:13">
      <c r="A358" s="19" t="s">
        <v>42</v>
      </c>
      <c r="B358" s="19" t="s">
        <v>212</v>
      </c>
      <c r="C358" s="19" t="s">
        <v>213</v>
      </c>
      <c r="D358" s="19">
        <v>67.53</v>
      </c>
      <c r="E358" s="19">
        <v>1000</v>
      </c>
      <c r="F358" s="19">
        <v>34</v>
      </c>
      <c r="G358" s="19">
        <v>0</v>
      </c>
      <c r="H358" s="19">
        <v>0</v>
      </c>
      <c r="I358" s="19">
        <v>9</v>
      </c>
      <c r="J358" s="19">
        <v>7.5</v>
      </c>
      <c r="K358" s="19">
        <v>9</v>
      </c>
      <c r="L358" s="19">
        <v>7.5</v>
      </c>
      <c r="M358" s="19">
        <v>0</v>
      </c>
    </row>
    <row r="359" s="17" customFormat="1" spans="1:13">
      <c r="A359" s="19" t="s">
        <v>43</v>
      </c>
      <c r="B359" s="19" t="s">
        <v>212</v>
      </c>
      <c r="C359" s="19" t="s">
        <v>213</v>
      </c>
      <c r="D359" s="19">
        <v>96.94</v>
      </c>
      <c r="E359" s="19">
        <v>1192</v>
      </c>
      <c r="F359" s="19">
        <v>39</v>
      </c>
      <c r="G359" s="19">
        <v>0</v>
      </c>
      <c r="H359" s="19">
        <v>0</v>
      </c>
      <c r="I359" s="19">
        <v>6</v>
      </c>
      <c r="J359" s="19">
        <v>16.16</v>
      </c>
      <c r="K359" s="19">
        <v>8</v>
      </c>
      <c r="L359" s="19">
        <v>12.12</v>
      </c>
      <c r="M359" s="19">
        <v>0</v>
      </c>
    </row>
    <row r="360" s="17" customFormat="1" spans="1:13">
      <c r="A360" s="19" t="s">
        <v>44</v>
      </c>
      <c r="B360" s="19" t="s">
        <v>212</v>
      </c>
      <c r="C360" s="19" t="s">
        <v>213</v>
      </c>
      <c r="D360" s="19">
        <v>94.53</v>
      </c>
      <c r="E360" s="19">
        <v>1373</v>
      </c>
      <c r="F360" s="19">
        <v>35</v>
      </c>
      <c r="G360" s="19">
        <v>1</v>
      </c>
      <c r="H360" s="19">
        <v>94.53</v>
      </c>
      <c r="I360" s="19">
        <v>9</v>
      </c>
      <c r="J360" s="19">
        <v>10.5</v>
      </c>
      <c r="K360" s="19">
        <v>10</v>
      </c>
      <c r="L360" s="19">
        <v>9.45</v>
      </c>
      <c r="M360" s="19">
        <v>6</v>
      </c>
    </row>
    <row r="361" s="17" customFormat="1" spans="1:13">
      <c r="A361" s="19" t="s">
        <v>45</v>
      </c>
      <c r="B361" s="19" t="s">
        <v>212</v>
      </c>
      <c r="C361" s="19" t="s">
        <v>213</v>
      </c>
      <c r="D361" s="19">
        <v>137.52</v>
      </c>
      <c r="E361" s="19">
        <v>1640</v>
      </c>
      <c r="F361" s="19">
        <v>53</v>
      </c>
      <c r="G361" s="19">
        <v>1</v>
      </c>
      <c r="H361" s="19">
        <v>137.52</v>
      </c>
      <c r="I361" s="19">
        <v>15</v>
      </c>
      <c r="J361" s="19">
        <v>9.17</v>
      </c>
      <c r="K361" s="19">
        <v>18</v>
      </c>
      <c r="L361" s="19">
        <v>7.64</v>
      </c>
      <c r="M361" s="19">
        <v>30</v>
      </c>
    </row>
    <row r="362" s="17" customFormat="1" spans="1:13">
      <c r="A362" s="19" t="s">
        <v>46</v>
      </c>
      <c r="B362" s="19" t="s">
        <v>212</v>
      </c>
      <c r="C362" s="19" t="s">
        <v>213</v>
      </c>
      <c r="D362" s="19">
        <v>222.82</v>
      </c>
      <c r="E362" s="19">
        <v>2404</v>
      </c>
      <c r="F362" s="19">
        <v>67</v>
      </c>
      <c r="G362" s="19">
        <v>0</v>
      </c>
      <c r="H362" s="19">
        <v>0</v>
      </c>
      <c r="I362" s="19">
        <v>21</v>
      </c>
      <c r="J362" s="19">
        <v>10.61</v>
      </c>
      <c r="K362" s="19">
        <v>25</v>
      </c>
      <c r="L362" s="19">
        <v>8.91</v>
      </c>
      <c r="M362" s="19">
        <v>0</v>
      </c>
    </row>
    <row r="363" s="17" customFormat="1" spans="1:13">
      <c r="A363" s="19" t="s">
        <v>47</v>
      </c>
      <c r="B363" s="19" t="s">
        <v>212</v>
      </c>
      <c r="C363" s="19" t="s">
        <v>213</v>
      </c>
      <c r="D363" s="19">
        <v>44.17</v>
      </c>
      <c r="E363" s="19">
        <v>784</v>
      </c>
      <c r="F363" s="19">
        <v>26</v>
      </c>
      <c r="G363" s="19">
        <v>1</v>
      </c>
      <c r="H363" s="19">
        <v>44.17</v>
      </c>
      <c r="I363" s="19">
        <v>6</v>
      </c>
      <c r="J363" s="19">
        <v>7.36</v>
      </c>
      <c r="K363" s="19">
        <v>7</v>
      </c>
      <c r="L363" s="19">
        <v>6.31</v>
      </c>
      <c r="M363" s="19">
        <v>12</v>
      </c>
    </row>
    <row r="364" s="17" customFormat="1" spans="1:13">
      <c r="A364" s="19" t="s">
        <v>48</v>
      </c>
      <c r="B364" s="19" t="s">
        <v>212</v>
      </c>
      <c r="C364" s="19" t="s">
        <v>213</v>
      </c>
      <c r="D364" s="19">
        <v>0</v>
      </c>
      <c r="E364" s="19">
        <v>109</v>
      </c>
      <c r="F364" s="19">
        <v>2</v>
      </c>
      <c r="G364" s="19">
        <v>0</v>
      </c>
      <c r="H364" s="19">
        <v>0</v>
      </c>
      <c r="I364" s="19">
        <v>1</v>
      </c>
      <c r="J364" s="19">
        <v>0</v>
      </c>
      <c r="K364" s="19">
        <v>1</v>
      </c>
      <c r="L364" s="19">
        <v>0</v>
      </c>
      <c r="M364" s="19">
        <v>0</v>
      </c>
    </row>
    <row r="365" s="17" customFormat="1" spans="1:13">
      <c r="A365" s="19" t="s">
        <v>49</v>
      </c>
      <c r="B365" s="19" t="s">
        <v>212</v>
      </c>
      <c r="C365" s="19" t="s">
        <v>213</v>
      </c>
      <c r="D365" s="19">
        <v>110.46</v>
      </c>
      <c r="E365" s="19">
        <v>1099</v>
      </c>
      <c r="F365" s="19">
        <v>22</v>
      </c>
      <c r="G365" s="19">
        <v>0</v>
      </c>
      <c r="H365" s="19">
        <v>0</v>
      </c>
      <c r="I365" s="19">
        <v>4</v>
      </c>
      <c r="J365" s="19">
        <v>27.62</v>
      </c>
      <c r="K365" s="19">
        <v>5</v>
      </c>
      <c r="L365" s="19">
        <v>22.09</v>
      </c>
      <c r="M365" s="19">
        <v>0</v>
      </c>
    </row>
    <row r="366" s="17" customFormat="1" spans="1:13">
      <c r="A366" s="19" t="s">
        <v>50</v>
      </c>
      <c r="B366" s="19" t="s">
        <v>212</v>
      </c>
      <c r="C366" s="19" t="s">
        <v>213</v>
      </c>
      <c r="D366" s="19">
        <v>200.44</v>
      </c>
      <c r="E366" s="19">
        <v>2049</v>
      </c>
      <c r="F366" s="19">
        <v>63</v>
      </c>
      <c r="G366" s="19">
        <v>2</v>
      </c>
      <c r="H366" s="19">
        <v>100.22</v>
      </c>
      <c r="I366" s="19">
        <v>16</v>
      </c>
      <c r="J366" s="19">
        <v>12.53</v>
      </c>
      <c r="K366" s="19">
        <v>19</v>
      </c>
      <c r="L366" s="19">
        <v>10.55</v>
      </c>
      <c r="M366" s="19">
        <v>18</v>
      </c>
    </row>
    <row r="367" s="17" customFormat="1" spans="1:13">
      <c r="A367" s="19" t="s">
        <v>51</v>
      </c>
      <c r="B367" s="19" t="s">
        <v>212</v>
      </c>
      <c r="C367" s="19" t="s">
        <v>213</v>
      </c>
      <c r="D367" s="19">
        <v>211.77</v>
      </c>
      <c r="E367" s="19">
        <v>2637</v>
      </c>
      <c r="F367" s="19">
        <v>53</v>
      </c>
      <c r="G367" s="19">
        <v>0</v>
      </c>
      <c r="H367" s="19">
        <v>0</v>
      </c>
      <c r="I367" s="19">
        <v>18</v>
      </c>
      <c r="J367" s="19">
        <v>11.77</v>
      </c>
      <c r="K367" s="19">
        <v>21</v>
      </c>
      <c r="L367" s="19">
        <v>10.08</v>
      </c>
      <c r="M367" s="19">
        <v>0</v>
      </c>
    </row>
    <row r="368" s="17" customFormat="1" spans="1:13">
      <c r="A368" s="19" t="s">
        <v>52</v>
      </c>
      <c r="B368" s="19" t="s">
        <v>212</v>
      </c>
      <c r="C368" s="19" t="s">
        <v>213</v>
      </c>
      <c r="D368" s="19">
        <v>257.94</v>
      </c>
      <c r="E368" s="19">
        <v>2964</v>
      </c>
      <c r="F368" s="19">
        <v>70</v>
      </c>
      <c r="G368" s="19">
        <v>1</v>
      </c>
      <c r="H368" s="19">
        <v>257.94</v>
      </c>
      <c r="I368" s="19">
        <v>28</v>
      </c>
      <c r="J368" s="19">
        <v>9.21</v>
      </c>
      <c r="K368" s="19">
        <v>29</v>
      </c>
      <c r="L368" s="19">
        <v>8.89</v>
      </c>
      <c r="M368" s="19">
        <v>66</v>
      </c>
    </row>
    <row r="369" s="17" customFormat="1" spans="1:13">
      <c r="A369" s="19" t="s">
        <v>53</v>
      </c>
      <c r="B369" s="19" t="s">
        <v>212</v>
      </c>
      <c r="C369" s="19" t="s">
        <v>213</v>
      </c>
      <c r="D369" s="19">
        <v>206.37</v>
      </c>
      <c r="E369" s="19">
        <v>2204</v>
      </c>
      <c r="F369" s="19">
        <v>53</v>
      </c>
      <c r="G369" s="19">
        <v>0</v>
      </c>
      <c r="H369" s="19">
        <v>0</v>
      </c>
      <c r="I369" s="19">
        <v>19</v>
      </c>
      <c r="J369" s="19">
        <v>10.86</v>
      </c>
      <c r="K369" s="19">
        <v>20</v>
      </c>
      <c r="L369" s="19">
        <v>10.32</v>
      </c>
      <c r="M369" s="19">
        <v>0</v>
      </c>
    </row>
    <row r="370" s="17" customFormat="1" spans="1:13">
      <c r="A370" s="19" t="s">
        <v>54</v>
      </c>
      <c r="B370" s="19" t="s">
        <v>212</v>
      </c>
      <c r="C370" s="19" t="s">
        <v>213</v>
      </c>
      <c r="D370" s="19">
        <v>185.32</v>
      </c>
      <c r="E370" s="19">
        <v>2218</v>
      </c>
      <c r="F370" s="19">
        <v>45</v>
      </c>
      <c r="G370" s="19">
        <v>1</v>
      </c>
      <c r="H370" s="19">
        <v>185.32</v>
      </c>
      <c r="I370" s="19">
        <v>16</v>
      </c>
      <c r="J370" s="19">
        <v>11.58</v>
      </c>
      <c r="K370" s="19">
        <v>16</v>
      </c>
      <c r="L370" s="19">
        <v>11.58</v>
      </c>
      <c r="M370" s="19">
        <v>60</v>
      </c>
    </row>
    <row r="371" s="17" customFormat="1" spans="1:13">
      <c r="A371" s="19" t="s">
        <v>55</v>
      </c>
      <c r="B371" s="19" t="s">
        <v>212</v>
      </c>
      <c r="C371" s="19" t="s">
        <v>213</v>
      </c>
      <c r="D371" s="19">
        <v>280.55</v>
      </c>
      <c r="E371" s="19">
        <v>1766</v>
      </c>
      <c r="F371" s="19">
        <v>62</v>
      </c>
      <c r="G371" s="19">
        <v>2</v>
      </c>
      <c r="H371" s="19">
        <v>140.28</v>
      </c>
      <c r="I371" s="19">
        <v>18</v>
      </c>
      <c r="J371" s="19">
        <v>15.59</v>
      </c>
      <c r="K371" s="19">
        <v>18</v>
      </c>
      <c r="L371" s="19">
        <v>15.59</v>
      </c>
      <c r="M371" s="19">
        <v>48</v>
      </c>
    </row>
    <row r="372" s="17" customFormat="1" spans="1:13">
      <c r="A372" s="19" t="s">
        <v>56</v>
      </c>
      <c r="B372" s="19" t="s">
        <v>212</v>
      </c>
      <c r="C372" s="19" t="s">
        <v>213</v>
      </c>
      <c r="D372" s="19">
        <v>287.1</v>
      </c>
      <c r="E372" s="19">
        <v>2857</v>
      </c>
      <c r="F372" s="19">
        <v>60</v>
      </c>
      <c r="G372" s="19">
        <v>1</v>
      </c>
      <c r="H372" s="19">
        <v>287.1</v>
      </c>
      <c r="I372" s="19">
        <v>20</v>
      </c>
      <c r="J372" s="19">
        <v>14.36</v>
      </c>
      <c r="K372" s="19">
        <v>23</v>
      </c>
      <c r="L372" s="19">
        <v>12.48</v>
      </c>
      <c r="M372" s="19">
        <v>88</v>
      </c>
    </row>
    <row r="373" s="17" customFormat="1" spans="1:13">
      <c r="A373" s="19" t="s">
        <v>57</v>
      </c>
      <c r="B373" s="19" t="s">
        <v>212</v>
      </c>
      <c r="C373" s="19" t="s">
        <v>213</v>
      </c>
      <c r="D373" s="19">
        <v>337.68</v>
      </c>
      <c r="E373" s="19">
        <v>3604</v>
      </c>
      <c r="F373" s="19">
        <v>77</v>
      </c>
      <c r="G373" s="19">
        <v>1</v>
      </c>
      <c r="H373" s="19">
        <v>337.68</v>
      </c>
      <c r="I373" s="19">
        <v>19</v>
      </c>
      <c r="J373" s="19">
        <v>17.77</v>
      </c>
      <c r="K373" s="19">
        <v>22</v>
      </c>
      <c r="L373" s="19">
        <v>15.35</v>
      </c>
      <c r="M373" s="19">
        <v>66</v>
      </c>
    </row>
    <row r="374" s="17" customFormat="1" spans="1:13">
      <c r="A374" s="19" t="s">
        <v>58</v>
      </c>
      <c r="B374" s="19" t="s">
        <v>212</v>
      </c>
      <c r="C374" s="19" t="s">
        <v>213</v>
      </c>
      <c r="D374" s="19">
        <v>327.85</v>
      </c>
      <c r="E374" s="19">
        <v>4345</v>
      </c>
      <c r="F374" s="19">
        <v>87</v>
      </c>
      <c r="G374" s="19">
        <v>3</v>
      </c>
      <c r="H374" s="19">
        <v>109.28</v>
      </c>
      <c r="I374" s="19">
        <v>27</v>
      </c>
      <c r="J374" s="19">
        <v>12.14</v>
      </c>
      <c r="K374" s="19">
        <v>30</v>
      </c>
      <c r="L374" s="19">
        <v>10.93</v>
      </c>
      <c r="M374" s="19">
        <v>205.9</v>
      </c>
    </row>
    <row r="375" s="17" customFormat="1" spans="1:13">
      <c r="A375" s="19" t="s">
        <v>59</v>
      </c>
      <c r="B375" s="19" t="s">
        <v>212</v>
      </c>
      <c r="C375" s="19" t="s">
        <v>213</v>
      </c>
      <c r="D375" s="19">
        <v>694.39</v>
      </c>
      <c r="E375" s="19">
        <v>9961</v>
      </c>
      <c r="F375" s="19">
        <v>248</v>
      </c>
      <c r="G375" s="19">
        <v>0</v>
      </c>
      <c r="H375" s="19">
        <v>0</v>
      </c>
      <c r="I375" s="19">
        <v>57</v>
      </c>
      <c r="J375" s="19">
        <v>12.18</v>
      </c>
      <c r="K375" s="19">
        <v>68</v>
      </c>
      <c r="L375" s="19">
        <v>10.21</v>
      </c>
      <c r="M375" s="19">
        <v>15.9</v>
      </c>
    </row>
    <row r="376" s="17" customFormat="1" spans="1:13">
      <c r="A376" s="19" t="s">
        <v>60</v>
      </c>
      <c r="B376" s="19" t="s">
        <v>212</v>
      </c>
      <c r="C376" s="19" t="s">
        <v>213</v>
      </c>
      <c r="D376" s="19">
        <v>183.39</v>
      </c>
      <c r="E376" s="19">
        <v>3083</v>
      </c>
      <c r="F376" s="19">
        <v>76</v>
      </c>
      <c r="G376" s="19">
        <v>1</v>
      </c>
      <c r="H376" s="19">
        <v>183.39</v>
      </c>
      <c r="I376" s="19">
        <v>19</v>
      </c>
      <c r="J376" s="19">
        <v>9.65</v>
      </c>
      <c r="K376" s="19">
        <v>21</v>
      </c>
      <c r="L376" s="19">
        <v>8.73</v>
      </c>
      <c r="M376" s="19">
        <v>6</v>
      </c>
    </row>
    <row r="377" s="17" customFormat="1" spans="1:13">
      <c r="A377" s="19" t="s">
        <v>61</v>
      </c>
      <c r="B377" s="19" t="s">
        <v>212</v>
      </c>
      <c r="C377" s="19" t="s">
        <v>213</v>
      </c>
      <c r="D377" s="19">
        <v>107.41</v>
      </c>
      <c r="E377" s="19">
        <v>1388</v>
      </c>
      <c r="F377" s="19">
        <v>33</v>
      </c>
      <c r="G377" s="19">
        <v>2</v>
      </c>
      <c r="H377" s="19">
        <v>53.71</v>
      </c>
      <c r="I377" s="19">
        <v>17</v>
      </c>
      <c r="J377" s="19">
        <v>6.32</v>
      </c>
      <c r="K377" s="19">
        <v>17</v>
      </c>
      <c r="L377" s="19">
        <v>6.32</v>
      </c>
      <c r="M377" s="19">
        <v>275.9</v>
      </c>
    </row>
    <row r="378" s="17" customFormat="1" spans="1:13">
      <c r="A378" s="19" t="s">
        <v>62</v>
      </c>
      <c r="B378" s="19" t="s">
        <v>212</v>
      </c>
      <c r="C378" s="19" t="s">
        <v>213</v>
      </c>
      <c r="D378" s="19">
        <v>122.74</v>
      </c>
      <c r="E378" s="19">
        <v>1229</v>
      </c>
      <c r="F378" s="19">
        <v>33</v>
      </c>
      <c r="G378" s="19">
        <v>0</v>
      </c>
      <c r="H378" s="19">
        <v>0</v>
      </c>
      <c r="I378" s="19">
        <v>10</v>
      </c>
      <c r="J378" s="19">
        <v>12.27</v>
      </c>
      <c r="K378" s="19">
        <v>11</v>
      </c>
      <c r="L378" s="19">
        <v>11.16</v>
      </c>
      <c r="M378" s="19">
        <v>0</v>
      </c>
    </row>
    <row r="379" s="17" customFormat="1" spans="1:13">
      <c r="A379" s="19" t="s">
        <v>63</v>
      </c>
      <c r="B379" s="19" t="s">
        <v>212</v>
      </c>
      <c r="C379" s="19" t="s">
        <v>213</v>
      </c>
      <c r="D379" s="19">
        <v>46.35</v>
      </c>
      <c r="E379" s="19">
        <v>681</v>
      </c>
      <c r="F379" s="19">
        <v>16</v>
      </c>
      <c r="G379" s="19">
        <v>0</v>
      </c>
      <c r="H379" s="19">
        <v>0</v>
      </c>
      <c r="I379" s="19">
        <v>5</v>
      </c>
      <c r="J379" s="19">
        <v>9.27</v>
      </c>
      <c r="K379" s="19">
        <v>5</v>
      </c>
      <c r="L379" s="19">
        <v>9.27</v>
      </c>
      <c r="M379" s="19">
        <v>0</v>
      </c>
    </row>
    <row r="380" s="17" customFormat="1" spans="1:13">
      <c r="A380" s="19" t="s">
        <v>64</v>
      </c>
      <c r="B380" s="19" t="s">
        <v>212</v>
      </c>
      <c r="C380" s="19" t="s">
        <v>213</v>
      </c>
      <c r="D380" s="19">
        <v>64.2</v>
      </c>
      <c r="E380" s="19">
        <v>622</v>
      </c>
      <c r="F380" s="19">
        <v>22</v>
      </c>
      <c r="G380" s="19">
        <v>1</v>
      </c>
      <c r="H380" s="19">
        <v>64.2</v>
      </c>
      <c r="I380" s="19">
        <v>5</v>
      </c>
      <c r="J380" s="19">
        <v>12.84</v>
      </c>
      <c r="K380" s="19">
        <v>5</v>
      </c>
      <c r="L380" s="19">
        <v>12.84</v>
      </c>
      <c r="M380" s="19">
        <v>6</v>
      </c>
    </row>
    <row r="381" s="17" customFormat="1" spans="1:13">
      <c r="A381" s="19" t="s">
        <v>65</v>
      </c>
      <c r="B381" s="19" t="s">
        <v>212</v>
      </c>
      <c r="C381" s="19" t="s">
        <v>213</v>
      </c>
      <c r="D381" s="19">
        <v>54.08</v>
      </c>
      <c r="E381" s="19">
        <v>615</v>
      </c>
      <c r="F381" s="19">
        <v>27</v>
      </c>
      <c r="G381" s="19">
        <v>0</v>
      </c>
      <c r="H381" s="19">
        <v>0</v>
      </c>
      <c r="I381" s="19">
        <v>3</v>
      </c>
      <c r="J381" s="19">
        <v>18.03</v>
      </c>
      <c r="K381" s="19">
        <v>5</v>
      </c>
      <c r="L381" s="19">
        <v>10.82</v>
      </c>
      <c r="M381" s="19">
        <v>0</v>
      </c>
    </row>
    <row r="382" s="17" customFormat="1" spans="1:13">
      <c r="A382" s="19" t="s">
        <v>66</v>
      </c>
      <c r="B382" s="19" t="s">
        <v>212</v>
      </c>
      <c r="C382" s="19" t="s">
        <v>213</v>
      </c>
      <c r="D382" s="19">
        <v>134.86</v>
      </c>
      <c r="E382" s="19">
        <v>1294</v>
      </c>
      <c r="F382" s="19">
        <v>36</v>
      </c>
      <c r="G382" s="19">
        <v>0</v>
      </c>
      <c r="H382" s="19">
        <v>0</v>
      </c>
      <c r="I382" s="19">
        <v>6</v>
      </c>
      <c r="J382" s="19">
        <v>22.48</v>
      </c>
      <c r="K382" s="19">
        <v>5</v>
      </c>
      <c r="L382" s="19">
        <v>26.97</v>
      </c>
      <c r="M382" s="19">
        <v>0</v>
      </c>
    </row>
    <row r="383" s="17" customFormat="1" spans="1:13">
      <c r="A383" s="19" t="s">
        <v>67</v>
      </c>
      <c r="B383" s="19" t="s">
        <v>212</v>
      </c>
      <c r="C383" s="19" t="s">
        <v>213</v>
      </c>
      <c r="D383" s="19">
        <v>201.45</v>
      </c>
      <c r="E383" s="19">
        <v>2519</v>
      </c>
      <c r="F383" s="19">
        <v>57</v>
      </c>
      <c r="G383" s="19">
        <v>1</v>
      </c>
      <c r="H383" s="19">
        <v>201.45</v>
      </c>
      <c r="I383" s="19">
        <v>9</v>
      </c>
      <c r="J383" s="19">
        <v>22.38</v>
      </c>
      <c r="K383" s="19">
        <v>10</v>
      </c>
      <c r="L383" s="19">
        <v>20.15</v>
      </c>
      <c r="M383" s="19">
        <v>30</v>
      </c>
    </row>
    <row r="384" s="17" customFormat="1" spans="1:13">
      <c r="A384" s="19" t="s">
        <v>68</v>
      </c>
      <c r="B384" s="19" t="s">
        <v>212</v>
      </c>
      <c r="C384" s="19" t="s">
        <v>213</v>
      </c>
      <c r="D384" s="19">
        <v>292.38</v>
      </c>
      <c r="E384" s="19">
        <v>3993</v>
      </c>
      <c r="F384" s="19">
        <v>87</v>
      </c>
      <c r="G384" s="19">
        <v>0</v>
      </c>
      <c r="H384" s="19">
        <v>0</v>
      </c>
      <c r="I384" s="19">
        <v>17</v>
      </c>
      <c r="J384" s="19">
        <v>17.2</v>
      </c>
      <c r="K384" s="19">
        <v>20</v>
      </c>
      <c r="L384" s="19">
        <v>14.62</v>
      </c>
      <c r="M384" s="19">
        <v>0</v>
      </c>
    </row>
    <row r="385" s="17" customFormat="1" spans="1:13">
      <c r="A385" s="19" t="s">
        <v>69</v>
      </c>
      <c r="B385" s="19" t="s">
        <v>212</v>
      </c>
      <c r="C385" s="19" t="s">
        <v>213</v>
      </c>
      <c r="D385" s="19">
        <v>155.73</v>
      </c>
      <c r="E385" s="19">
        <v>1544</v>
      </c>
      <c r="F385" s="19">
        <v>48</v>
      </c>
      <c r="G385" s="19">
        <v>0</v>
      </c>
      <c r="H385" s="19">
        <v>0</v>
      </c>
      <c r="I385" s="19">
        <v>11</v>
      </c>
      <c r="J385" s="19">
        <v>14.16</v>
      </c>
      <c r="K385" s="19">
        <v>15</v>
      </c>
      <c r="L385" s="19">
        <v>10.38</v>
      </c>
      <c r="M385" s="19">
        <v>0</v>
      </c>
    </row>
    <row r="386" s="17" customFormat="1" spans="1:13">
      <c r="A386" s="19" t="s">
        <v>70</v>
      </c>
      <c r="B386" s="19" t="s">
        <v>212</v>
      </c>
      <c r="C386" s="19" t="s">
        <v>213</v>
      </c>
      <c r="D386" s="19">
        <v>90.85</v>
      </c>
      <c r="E386" s="19">
        <v>967</v>
      </c>
      <c r="F386" s="19">
        <v>37</v>
      </c>
      <c r="G386" s="19">
        <v>0</v>
      </c>
      <c r="H386" s="19">
        <v>0</v>
      </c>
      <c r="I386" s="19">
        <v>14</v>
      </c>
      <c r="J386" s="19">
        <v>6.49</v>
      </c>
      <c r="K386" s="19">
        <v>14</v>
      </c>
      <c r="L386" s="19">
        <v>6.49</v>
      </c>
      <c r="M386" s="19">
        <v>0</v>
      </c>
    </row>
    <row r="387" s="17" customFormat="1" spans="1:13">
      <c r="A387" s="19" t="s">
        <v>71</v>
      </c>
      <c r="B387" s="19" t="s">
        <v>212</v>
      </c>
      <c r="C387" s="19" t="s">
        <v>213</v>
      </c>
      <c r="D387" s="19">
        <v>147.37</v>
      </c>
      <c r="E387" s="19">
        <v>1730</v>
      </c>
      <c r="F387" s="19">
        <v>47</v>
      </c>
      <c r="G387" s="19">
        <v>0</v>
      </c>
      <c r="H387" s="19">
        <v>0</v>
      </c>
      <c r="I387" s="19">
        <v>9</v>
      </c>
      <c r="J387" s="19">
        <v>16.37</v>
      </c>
      <c r="K387" s="19">
        <v>13</v>
      </c>
      <c r="L387" s="19">
        <v>11.34</v>
      </c>
      <c r="M387" s="19">
        <v>0</v>
      </c>
    </row>
    <row r="388" s="17" customFormat="1" spans="1:13">
      <c r="A388" s="19" t="s">
        <v>72</v>
      </c>
      <c r="B388" s="19" t="s">
        <v>212</v>
      </c>
      <c r="C388" s="19" t="s">
        <v>213</v>
      </c>
      <c r="D388" s="19">
        <v>178.22</v>
      </c>
      <c r="E388" s="19">
        <v>2033</v>
      </c>
      <c r="F388" s="19">
        <v>30</v>
      </c>
      <c r="G388" s="19">
        <v>2</v>
      </c>
      <c r="H388" s="19">
        <v>89.11</v>
      </c>
      <c r="I388" s="19">
        <v>8</v>
      </c>
      <c r="J388" s="19">
        <v>22.28</v>
      </c>
      <c r="K388" s="19">
        <v>10</v>
      </c>
      <c r="L388" s="19">
        <v>17.82</v>
      </c>
      <c r="M388" s="19">
        <v>75.9</v>
      </c>
    </row>
    <row r="389" s="17" customFormat="1" spans="1:13">
      <c r="A389" s="19" t="s">
        <v>73</v>
      </c>
      <c r="B389" s="19" t="s">
        <v>212</v>
      </c>
      <c r="C389" s="19" t="s">
        <v>213</v>
      </c>
      <c r="D389" s="19">
        <v>131.81</v>
      </c>
      <c r="E389" s="19">
        <v>1756</v>
      </c>
      <c r="F389" s="19">
        <v>30</v>
      </c>
      <c r="G389" s="19">
        <v>0</v>
      </c>
      <c r="H389" s="19">
        <v>0</v>
      </c>
      <c r="I389" s="19">
        <v>8</v>
      </c>
      <c r="J389" s="19">
        <v>16.48</v>
      </c>
      <c r="K389" s="19">
        <v>9</v>
      </c>
      <c r="L389" s="19">
        <v>14.65</v>
      </c>
      <c r="M389" s="19">
        <v>0</v>
      </c>
    </row>
    <row r="390" s="17" customFormat="1" spans="1:13">
      <c r="A390" s="19" t="s">
        <v>74</v>
      </c>
      <c r="B390" s="19" t="s">
        <v>212</v>
      </c>
      <c r="C390" s="19" t="s">
        <v>213</v>
      </c>
      <c r="D390" s="19">
        <v>166.67</v>
      </c>
      <c r="E390" s="19">
        <v>2163</v>
      </c>
      <c r="F390" s="19">
        <v>46</v>
      </c>
      <c r="G390" s="19">
        <v>0</v>
      </c>
      <c r="H390" s="19">
        <v>0</v>
      </c>
      <c r="I390" s="19">
        <v>15</v>
      </c>
      <c r="J390" s="19">
        <v>11.11</v>
      </c>
      <c r="K390" s="19">
        <v>16</v>
      </c>
      <c r="L390" s="19">
        <v>10.42</v>
      </c>
      <c r="M390" s="19">
        <v>0</v>
      </c>
    </row>
    <row r="391" s="17" customFormat="1" spans="1:13">
      <c r="A391" s="19" t="s">
        <v>75</v>
      </c>
      <c r="B391" s="19" t="s">
        <v>212</v>
      </c>
      <c r="C391" s="19" t="s">
        <v>213</v>
      </c>
      <c r="D391" s="19">
        <v>160.69</v>
      </c>
      <c r="E391" s="19">
        <v>2052</v>
      </c>
      <c r="F391" s="19">
        <v>58</v>
      </c>
      <c r="G391" s="19">
        <v>2</v>
      </c>
      <c r="H391" s="19">
        <v>80.35</v>
      </c>
      <c r="I391" s="19">
        <v>20</v>
      </c>
      <c r="J391" s="19">
        <v>8.03</v>
      </c>
      <c r="K391" s="19">
        <v>23</v>
      </c>
      <c r="L391" s="19">
        <v>6.99</v>
      </c>
      <c r="M391" s="19">
        <v>39.9</v>
      </c>
    </row>
    <row r="392" s="17" customFormat="1" spans="1:13">
      <c r="A392" s="19" t="s">
        <v>76</v>
      </c>
      <c r="B392" s="19" t="s">
        <v>212</v>
      </c>
      <c r="C392" s="19" t="s">
        <v>213</v>
      </c>
      <c r="D392" s="19">
        <v>184.17</v>
      </c>
      <c r="E392" s="19">
        <v>2239</v>
      </c>
      <c r="F392" s="19">
        <v>40</v>
      </c>
      <c r="G392" s="19">
        <v>2</v>
      </c>
      <c r="H392" s="19">
        <v>92.09</v>
      </c>
      <c r="I392" s="19">
        <v>13</v>
      </c>
      <c r="J392" s="19">
        <v>14.17</v>
      </c>
      <c r="K392" s="19">
        <v>20</v>
      </c>
      <c r="L392" s="19">
        <v>9.21</v>
      </c>
      <c r="M392" s="19">
        <v>103.9</v>
      </c>
    </row>
    <row r="393" s="17" customFormat="1" spans="1:13">
      <c r="A393" s="19" t="s">
        <v>77</v>
      </c>
      <c r="B393" s="19" t="s">
        <v>212</v>
      </c>
      <c r="C393" s="19" t="s">
        <v>213</v>
      </c>
      <c r="D393" s="19">
        <v>139.98</v>
      </c>
      <c r="E393" s="19">
        <v>1759</v>
      </c>
      <c r="F393" s="19">
        <v>37</v>
      </c>
      <c r="G393" s="19">
        <v>0</v>
      </c>
      <c r="H393" s="19">
        <v>0</v>
      </c>
      <c r="I393" s="19">
        <v>10</v>
      </c>
      <c r="J393" s="19">
        <v>14</v>
      </c>
      <c r="K393" s="19">
        <v>11</v>
      </c>
      <c r="L393" s="19">
        <v>12.73</v>
      </c>
      <c r="M393" s="19">
        <v>88</v>
      </c>
    </row>
    <row r="394" s="17" customFormat="1" spans="1:13">
      <c r="A394" s="19" t="s">
        <v>78</v>
      </c>
      <c r="B394" s="19" t="s">
        <v>212</v>
      </c>
      <c r="C394" s="19" t="s">
        <v>213</v>
      </c>
      <c r="D394" s="19">
        <v>81.95</v>
      </c>
      <c r="E394" s="19">
        <v>1071</v>
      </c>
      <c r="F394" s="19">
        <v>30</v>
      </c>
      <c r="G394" s="19">
        <v>0</v>
      </c>
      <c r="H394" s="19">
        <v>0</v>
      </c>
      <c r="I394" s="19">
        <v>12</v>
      </c>
      <c r="J394" s="19">
        <v>6.83</v>
      </c>
      <c r="K394" s="19">
        <v>13</v>
      </c>
      <c r="L394" s="19">
        <v>6.3</v>
      </c>
      <c r="M394" s="19">
        <v>39.9</v>
      </c>
    </row>
    <row r="395" s="17" customFormat="1" spans="1:13">
      <c r="A395" s="19" t="s">
        <v>79</v>
      </c>
      <c r="B395" s="19" t="s">
        <v>212</v>
      </c>
      <c r="C395" s="19" t="s">
        <v>213</v>
      </c>
      <c r="D395" s="19">
        <v>72.28</v>
      </c>
      <c r="E395" s="19">
        <v>860</v>
      </c>
      <c r="F395" s="19">
        <v>20</v>
      </c>
      <c r="G395" s="19">
        <v>0</v>
      </c>
      <c r="H395" s="19">
        <v>0</v>
      </c>
      <c r="I395" s="19">
        <v>5</v>
      </c>
      <c r="J395" s="19">
        <v>14.46</v>
      </c>
      <c r="K395" s="19">
        <v>5</v>
      </c>
      <c r="L395" s="19">
        <v>14.46</v>
      </c>
      <c r="M395" s="19">
        <v>0</v>
      </c>
    </row>
    <row r="396" s="17" customFormat="1" spans="1:13">
      <c r="A396" s="19" t="s">
        <v>80</v>
      </c>
      <c r="B396" s="19" t="s">
        <v>212</v>
      </c>
      <c r="C396" s="19" t="s">
        <v>213</v>
      </c>
      <c r="D396" s="19">
        <v>86.83</v>
      </c>
      <c r="E396" s="19">
        <v>996</v>
      </c>
      <c r="F396" s="19">
        <v>23</v>
      </c>
      <c r="G396" s="19">
        <v>0</v>
      </c>
      <c r="H396" s="19">
        <v>0</v>
      </c>
      <c r="I396" s="19">
        <v>12</v>
      </c>
      <c r="J396" s="19">
        <v>7.24</v>
      </c>
      <c r="K396" s="19">
        <v>13</v>
      </c>
      <c r="L396" s="19">
        <v>6.68</v>
      </c>
      <c r="M396" s="19">
        <v>0</v>
      </c>
    </row>
    <row r="397" s="17" customFormat="1" spans="1:13">
      <c r="A397" s="19" t="s">
        <v>81</v>
      </c>
      <c r="B397" s="19" t="s">
        <v>212</v>
      </c>
      <c r="C397" s="19" t="s">
        <v>213</v>
      </c>
      <c r="D397" s="19">
        <v>82.98</v>
      </c>
      <c r="E397" s="19">
        <v>866</v>
      </c>
      <c r="F397" s="19">
        <v>28</v>
      </c>
      <c r="G397" s="19">
        <v>1</v>
      </c>
      <c r="H397" s="19">
        <v>82.98</v>
      </c>
      <c r="I397" s="19">
        <v>16</v>
      </c>
      <c r="J397" s="19">
        <v>5.19</v>
      </c>
      <c r="K397" s="19">
        <v>16</v>
      </c>
      <c r="L397" s="19">
        <v>5.19</v>
      </c>
      <c r="M397" s="19">
        <v>48</v>
      </c>
    </row>
    <row r="398" s="17" customFormat="1" spans="1:13">
      <c r="A398" s="19" t="s">
        <v>82</v>
      </c>
      <c r="B398" s="19" t="s">
        <v>212</v>
      </c>
      <c r="C398" s="19" t="s">
        <v>213</v>
      </c>
      <c r="D398" s="19">
        <v>94.84</v>
      </c>
      <c r="E398" s="19">
        <v>1218</v>
      </c>
      <c r="F398" s="19">
        <v>32</v>
      </c>
      <c r="G398" s="19">
        <v>0</v>
      </c>
      <c r="H398" s="19">
        <v>0</v>
      </c>
      <c r="I398" s="19">
        <v>13</v>
      </c>
      <c r="J398" s="19">
        <v>7.3</v>
      </c>
      <c r="K398" s="19">
        <v>15</v>
      </c>
      <c r="L398" s="19">
        <v>6.32</v>
      </c>
      <c r="M398" s="19">
        <v>157.9</v>
      </c>
    </row>
    <row r="399" s="17" customFormat="1" spans="1:13">
      <c r="A399" s="19" t="s">
        <v>83</v>
      </c>
      <c r="B399" s="19" t="s">
        <v>212</v>
      </c>
      <c r="C399" s="19" t="s">
        <v>213</v>
      </c>
      <c r="D399" s="19">
        <v>176.44</v>
      </c>
      <c r="E399" s="19">
        <v>2012</v>
      </c>
      <c r="F399" s="19">
        <v>50</v>
      </c>
      <c r="G399" s="19">
        <v>0</v>
      </c>
      <c r="H399" s="19">
        <v>0</v>
      </c>
      <c r="I399" s="19">
        <v>22</v>
      </c>
      <c r="J399" s="19">
        <v>8.02</v>
      </c>
      <c r="K399" s="19">
        <v>22</v>
      </c>
      <c r="L399" s="19">
        <v>8.02</v>
      </c>
      <c r="M399" s="19">
        <v>30</v>
      </c>
    </row>
    <row r="400" s="17" customFormat="1" spans="1:13">
      <c r="A400" s="19" t="s">
        <v>84</v>
      </c>
      <c r="B400" s="19" t="s">
        <v>212</v>
      </c>
      <c r="C400" s="19" t="s">
        <v>213</v>
      </c>
      <c r="D400" s="19">
        <v>204.58</v>
      </c>
      <c r="E400" s="19">
        <v>2367</v>
      </c>
      <c r="F400" s="19">
        <v>58</v>
      </c>
      <c r="G400" s="19">
        <v>2</v>
      </c>
      <c r="H400" s="19">
        <v>102.29</v>
      </c>
      <c r="I400" s="19">
        <v>22</v>
      </c>
      <c r="J400" s="19">
        <v>9.3</v>
      </c>
      <c r="K400" s="19">
        <v>23</v>
      </c>
      <c r="L400" s="19">
        <v>8.89</v>
      </c>
      <c r="M400" s="19">
        <v>75.8</v>
      </c>
    </row>
    <row r="401" s="17" customFormat="1" spans="1:13">
      <c r="A401" s="19" t="s">
        <v>85</v>
      </c>
      <c r="B401" s="19" t="s">
        <v>212</v>
      </c>
      <c r="C401" s="19" t="s">
        <v>213</v>
      </c>
      <c r="D401" s="19">
        <v>124.33</v>
      </c>
      <c r="E401" s="19">
        <v>1673</v>
      </c>
      <c r="F401" s="19">
        <v>42</v>
      </c>
      <c r="G401" s="19">
        <v>1</v>
      </c>
      <c r="H401" s="19">
        <v>124.33</v>
      </c>
      <c r="I401" s="19">
        <v>15</v>
      </c>
      <c r="J401" s="19">
        <v>8.29</v>
      </c>
      <c r="K401" s="19">
        <v>16</v>
      </c>
      <c r="L401" s="19">
        <v>7.77</v>
      </c>
      <c r="M401" s="19">
        <v>30</v>
      </c>
    </row>
    <row r="402" s="17" customFormat="1" spans="1:13">
      <c r="A402" s="19" t="s">
        <v>86</v>
      </c>
      <c r="B402" s="19" t="s">
        <v>212</v>
      </c>
      <c r="C402" s="19" t="s">
        <v>213</v>
      </c>
      <c r="D402" s="19">
        <v>172.69</v>
      </c>
      <c r="E402" s="19">
        <v>2665</v>
      </c>
      <c r="F402" s="19">
        <v>56</v>
      </c>
      <c r="G402" s="19">
        <v>1</v>
      </c>
      <c r="H402" s="19">
        <v>172.69</v>
      </c>
      <c r="I402" s="19">
        <v>13</v>
      </c>
      <c r="J402" s="19">
        <v>13.28</v>
      </c>
      <c r="K402" s="19">
        <v>14</v>
      </c>
      <c r="L402" s="19">
        <v>12.34</v>
      </c>
      <c r="M402" s="19">
        <v>30</v>
      </c>
    </row>
    <row r="403" s="17" customFormat="1" spans="1:13">
      <c r="A403" s="19" t="s">
        <v>87</v>
      </c>
      <c r="B403" s="19" t="s">
        <v>212</v>
      </c>
      <c r="C403" s="19" t="s">
        <v>213</v>
      </c>
      <c r="D403" s="19">
        <v>170</v>
      </c>
      <c r="E403" s="19">
        <v>2725</v>
      </c>
      <c r="F403" s="19">
        <v>61</v>
      </c>
      <c r="G403" s="19">
        <v>0</v>
      </c>
      <c r="H403" s="19">
        <v>0</v>
      </c>
      <c r="I403" s="19">
        <v>21</v>
      </c>
      <c r="J403" s="19">
        <v>8.1</v>
      </c>
      <c r="K403" s="19">
        <v>21</v>
      </c>
      <c r="L403" s="19">
        <v>8.1</v>
      </c>
      <c r="M403" s="19">
        <v>30</v>
      </c>
    </row>
    <row r="404" s="17" customFormat="1" spans="1:13">
      <c r="A404" s="19" t="s">
        <v>88</v>
      </c>
      <c r="B404" s="19" t="s">
        <v>212</v>
      </c>
      <c r="C404" s="19" t="s">
        <v>213</v>
      </c>
      <c r="D404" s="19">
        <v>230.56</v>
      </c>
      <c r="E404" s="19">
        <v>4105</v>
      </c>
      <c r="F404" s="19">
        <v>66</v>
      </c>
      <c r="G404" s="19">
        <v>0</v>
      </c>
      <c r="H404" s="19">
        <v>0</v>
      </c>
      <c r="I404" s="19">
        <v>15</v>
      </c>
      <c r="J404" s="19">
        <v>15.37</v>
      </c>
      <c r="K404" s="19">
        <v>15</v>
      </c>
      <c r="L404" s="19">
        <v>15.37</v>
      </c>
      <c r="M404" s="19">
        <v>0</v>
      </c>
    </row>
    <row r="405" s="17" customFormat="1" spans="1:13">
      <c r="A405" s="19" t="s">
        <v>89</v>
      </c>
      <c r="B405" s="19" t="s">
        <v>212</v>
      </c>
      <c r="C405" s="19" t="s">
        <v>213</v>
      </c>
      <c r="D405" s="19">
        <v>255.91</v>
      </c>
      <c r="E405" s="19">
        <v>4393</v>
      </c>
      <c r="F405" s="19">
        <v>80</v>
      </c>
      <c r="G405" s="19">
        <v>1</v>
      </c>
      <c r="H405" s="19">
        <v>255.91</v>
      </c>
      <c r="I405" s="19">
        <v>14</v>
      </c>
      <c r="J405" s="19">
        <v>18.28</v>
      </c>
      <c r="K405" s="19">
        <v>17</v>
      </c>
      <c r="L405" s="19">
        <v>15.05</v>
      </c>
      <c r="M405" s="19">
        <v>30</v>
      </c>
    </row>
    <row r="406" s="17" customFormat="1" spans="1:13">
      <c r="A406" s="19" t="s">
        <v>90</v>
      </c>
      <c r="B406" s="19" t="s">
        <v>212</v>
      </c>
      <c r="C406" s="19" t="s">
        <v>213</v>
      </c>
      <c r="D406" s="19">
        <v>293.06</v>
      </c>
      <c r="E406" s="19">
        <v>7275</v>
      </c>
      <c r="F406" s="19">
        <v>113</v>
      </c>
      <c r="G406" s="19">
        <v>1</v>
      </c>
      <c r="H406" s="19">
        <v>293.06</v>
      </c>
      <c r="I406" s="19">
        <v>17</v>
      </c>
      <c r="J406" s="19">
        <v>17.24</v>
      </c>
      <c r="K406" s="19">
        <v>17</v>
      </c>
      <c r="L406" s="19">
        <v>17.24</v>
      </c>
      <c r="M406" s="19">
        <v>30</v>
      </c>
    </row>
    <row r="407" s="17" customFormat="1" spans="1:13">
      <c r="A407" s="19" t="s">
        <v>91</v>
      </c>
      <c r="B407" s="19" t="s">
        <v>212</v>
      </c>
      <c r="C407" s="19" t="s">
        <v>213</v>
      </c>
      <c r="D407" s="19">
        <v>247.42</v>
      </c>
      <c r="E407" s="19">
        <v>4662</v>
      </c>
      <c r="F407" s="19">
        <v>106</v>
      </c>
      <c r="G407" s="19">
        <v>0</v>
      </c>
      <c r="H407" s="19">
        <v>0</v>
      </c>
      <c r="I407" s="19">
        <v>24</v>
      </c>
      <c r="J407" s="19">
        <v>10.31</v>
      </c>
      <c r="K407" s="19">
        <v>28</v>
      </c>
      <c r="L407" s="19">
        <v>8.84</v>
      </c>
      <c r="M407" s="19">
        <v>0</v>
      </c>
    </row>
    <row r="408" s="17" customFormat="1" spans="1:13">
      <c r="A408" s="19" t="s">
        <v>92</v>
      </c>
      <c r="B408" s="19" t="s">
        <v>212</v>
      </c>
      <c r="C408" s="19" t="s">
        <v>213</v>
      </c>
      <c r="D408" s="19">
        <v>155.74</v>
      </c>
      <c r="E408" s="19">
        <v>2451</v>
      </c>
      <c r="F408" s="19">
        <v>58</v>
      </c>
      <c r="G408" s="19">
        <v>1</v>
      </c>
      <c r="H408" s="19">
        <v>155.74</v>
      </c>
      <c r="I408" s="19">
        <v>19</v>
      </c>
      <c r="J408" s="19">
        <v>8.2</v>
      </c>
      <c r="K408" s="19">
        <v>20</v>
      </c>
      <c r="L408" s="19">
        <v>7.79</v>
      </c>
      <c r="M408" s="19">
        <v>9.9</v>
      </c>
    </row>
    <row r="409" s="17" customFormat="1" spans="1:13">
      <c r="A409" s="19" t="s">
        <v>93</v>
      </c>
      <c r="B409" s="19" t="s">
        <v>212</v>
      </c>
      <c r="C409" s="19" t="s">
        <v>213</v>
      </c>
      <c r="D409" s="19">
        <v>74.84</v>
      </c>
      <c r="E409" s="19">
        <v>1408</v>
      </c>
      <c r="F409" s="19">
        <v>31</v>
      </c>
      <c r="G409" s="19">
        <v>1</v>
      </c>
      <c r="H409" s="19">
        <v>74.84</v>
      </c>
      <c r="I409" s="19">
        <v>5</v>
      </c>
      <c r="J409" s="19">
        <v>14.97</v>
      </c>
      <c r="K409" s="19">
        <v>6</v>
      </c>
      <c r="L409" s="19">
        <v>12.47</v>
      </c>
      <c r="M409" s="19">
        <v>6</v>
      </c>
    </row>
    <row r="410" s="17" customFormat="1" spans="1:13">
      <c r="A410" s="19" t="s">
        <v>94</v>
      </c>
      <c r="B410" s="19" t="s">
        <v>212</v>
      </c>
      <c r="C410" s="19" t="s">
        <v>213</v>
      </c>
      <c r="D410" s="19">
        <v>61.86</v>
      </c>
      <c r="E410" s="19">
        <v>1207</v>
      </c>
      <c r="F410" s="19">
        <v>25</v>
      </c>
      <c r="G410" s="19">
        <v>0</v>
      </c>
      <c r="H410" s="19">
        <v>0</v>
      </c>
      <c r="I410" s="19">
        <v>6</v>
      </c>
      <c r="J410" s="19">
        <v>10.31</v>
      </c>
      <c r="K410" s="19">
        <v>6</v>
      </c>
      <c r="L410" s="19">
        <v>10.31</v>
      </c>
      <c r="M410" s="19">
        <v>0</v>
      </c>
    </row>
    <row r="411" s="17" customFormat="1" spans="1:13">
      <c r="A411" s="19" t="s">
        <v>95</v>
      </c>
      <c r="B411" s="19" t="s">
        <v>212</v>
      </c>
      <c r="C411" s="19" t="s">
        <v>213</v>
      </c>
      <c r="D411" s="19">
        <v>58.27</v>
      </c>
      <c r="E411" s="19">
        <v>930</v>
      </c>
      <c r="F411" s="19">
        <v>18</v>
      </c>
      <c r="G411" s="19">
        <v>1</v>
      </c>
      <c r="H411" s="19">
        <v>58.27</v>
      </c>
      <c r="I411" s="19">
        <v>6</v>
      </c>
      <c r="J411" s="19">
        <v>9.71</v>
      </c>
      <c r="K411" s="19">
        <v>6</v>
      </c>
      <c r="L411" s="19">
        <v>9.71</v>
      </c>
      <c r="M411" s="19">
        <v>6</v>
      </c>
    </row>
    <row r="412" s="17" customFormat="1" spans="1:13">
      <c r="A412" s="19" t="s">
        <v>96</v>
      </c>
      <c r="B412" s="19" t="s">
        <v>212</v>
      </c>
      <c r="C412" s="19" t="s">
        <v>213</v>
      </c>
      <c r="D412" s="19">
        <v>94.86</v>
      </c>
      <c r="E412" s="19">
        <v>1213</v>
      </c>
      <c r="F412" s="19">
        <v>29</v>
      </c>
      <c r="G412" s="19">
        <v>0</v>
      </c>
      <c r="H412" s="19">
        <v>0</v>
      </c>
      <c r="I412" s="19">
        <v>14</v>
      </c>
      <c r="J412" s="19">
        <v>6.78</v>
      </c>
      <c r="K412" s="19">
        <v>14</v>
      </c>
      <c r="L412" s="19">
        <v>6.78</v>
      </c>
      <c r="M412" s="19">
        <v>0</v>
      </c>
    </row>
    <row r="413" s="17" customFormat="1" spans="1:13">
      <c r="A413" s="19" t="s">
        <v>97</v>
      </c>
      <c r="B413" s="19" t="s">
        <v>212</v>
      </c>
      <c r="C413" s="19" t="s">
        <v>213</v>
      </c>
      <c r="D413" s="19">
        <v>145.91</v>
      </c>
      <c r="E413" s="19">
        <v>1875</v>
      </c>
      <c r="F413" s="19">
        <v>43</v>
      </c>
      <c r="G413" s="19">
        <v>0</v>
      </c>
      <c r="H413" s="19">
        <v>0</v>
      </c>
      <c r="I413" s="19">
        <v>14</v>
      </c>
      <c r="J413" s="19">
        <v>10.42</v>
      </c>
      <c r="K413" s="19">
        <v>14</v>
      </c>
      <c r="L413" s="19">
        <v>10.42</v>
      </c>
      <c r="M413" s="19">
        <v>0</v>
      </c>
    </row>
    <row r="414" s="17" customFormat="1" spans="1:13">
      <c r="A414" s="19" t="s">
        <v>98</v>
      </c>
      <c r="B414" s="19" t="s">
        <v>212</v>
      </c>
      <c r="C414" s="19" t="s">
        <v>213</v>
      </c>
      <c r="D414" s="19">
        <v>175.21</v>
      </c>
      <c r="E414" s="19">
        <v>2075</v>
      </c>
      <c r="F414" s="19">
        <v>44</v>
      </c>
      <c r="G414" s="19">
        <v>0</v>
      </c>
      <c r="H414" s="19">
        <v>0</v>
      </c>
      <c r="I414" s="19">
        <v>16</v>
      </c>
      <c r="J414" s="19">
        <v>10.95</v>
      </c>
      <c r="K414" s="19">
        <v>16</v>
      </c>
      <c r="L414" s="19">
        <v>10.95</v>
      </c>
      <c r="M414" s="19">
        <v>0</v>
      </c>
    </row>
    <row r="415" s="17" customFormat="1" spans="1:13">
      <c r="A415" s="19" t="s">
        <v>99</v>
      </c>
      <c r="B415" s="19" t="s">
        <v>212</v>
      </c>
      <c r="C415" s="19" t="s">
        <v>213</v>
      </c>
      <c r="D415" s="19">
        <v>220.75</v>
      </c>
      <c r="E415" s="19">
        <v>2719</v>
      </c>
      <c r="F415" s="19">
        <v>73</v>
      </c>
      <c r="G415" s="19">
        <v>0</v>
      </c>
      <c r="H415" s="19">
        <v>0</v>
      </c>
      <c r="I415" s="19">
        <v>14</v>
      </c>
      <c r="J415" s="19">
        <v>15.77</v>
      </c>
      <c r="K415" s="19">
        <v>16</v>
      </c>
      <c r="L415" s="19">
        <v>13.8</v>
      </c>
      <c r="M415" s="19">
        <v>0</v>
      </c>
    </row>
    <row r="416" s="17" customFormat="1" spans="1:13">
      <c r="A416" s="19" t="s">
        <v>100</v>
      </c>
      <c r="B416" s="19" t="s">
        <v>212</v>
      </c>
      <c r="C416" s="19" t="s">
        <v>213</v>
      </c>
      <c r="D416" s="19">
        <v>147.03</v>
      </c>
      <c r="E416" s="19">
        <v>2038</v>
      </c>
      <c r="F416" s="19">
        <v>55</v>
      </c>
      <c r="G416" s="19">
        <v>1</v>
      </c>
      <c r="H416" s="19">
        <v>147.03</v>
      </c>
      <c r="I416" s="19">
        <v>16</v>
      </c>
      <c r="J416" s="19">
        <v>9.19</v>
      </c>
      <c r="K416" s="19">
        <v>17</v>
      </c>
      <c r="L416" s="19">
        <v>8.65</v>
      </c>
      <c r="M416" s="19">
        <v>6</v>
      </c>
    </row>
    <row r="417" s="17" customFormat="1" spans="1:13">
      <c r="A417" s="19" t="s">
        <v>101</v>
      </c>
      <c r="B417" s="19" t="s">
        <v>212</v>
      </c>
      <c r="C417" s="19" t="s">
        <v>213</v>
      </c>
      <c r="D417" s="19">
        <v>0</v>
      </c>
      <c r="E417" s="19">
        <v>124</v>
      </c>
      <c r="F417" s="19">
        <v>5</v>
      </c>
      <c r="G417" s="19">
        <v>1</v>
      </c>
      <c r="H417" s="19">
        <v>0</v>
      </c>
      <c r="I417" s="19">
        <v>3</v>
      </c>
      <c r="J417" s="19">
        <v>0</v>
      </c>
      <c r="K417" s="19">
        <v>3</v>
      </c>
      <c r="L417" s="19">
        <v>0</v>
      </c>
      <c r="M417" s="19">
        <v>88</v>
      </c>
    </row>
    <row r="418" s="17" customFormat="1" spans="1:13">
      <c r="A418" s="19" t="s">
        <v>102</v>
      </c>
      <c r="B418" s="19" t="s">
        <v>212</v>
      </c>
      <c r="C418" s="19" t="s">
        <v>213</v>
      </c>
      <c r="D418" s="19">
        <v>0</v>
      </c>
      <c r="E418" s="19">
        <v>63</v>
      </c>
      <c r="F418" s="19">
        <v>0</v>
      </c>
      <c r="G418" s="19">
        <v>0</v>
      </c>
      <c r="H418" s="19">
        <v>0</v>
      </c>
      <c r="I418" s="19">
        <v>0</v>
      </c>
      <c r="J418" s="19">
        <v>0</v>
      </c>
      <c r="K418" s="19">
        <v>0</v>
      </c>
      <c r="L418" s="19">
        <v>0</v>
      </c>
      <c r="M418" s="19">
        <v>0</v>
      </c>
    </row>
    <row r="419" s="17" customFormat="1" spans="1:13">
      <c r="A419" s="19" t="s">
        <v>103</v>
      </c>
      <c r="B419" s="19" t="s">
        <v>212</v>
      </c>
      <c r="C419" s="19" t="s">
        <v>213</v>
      </c>
      <c r="D419" s="19">
        <v>92.8</v>
      </c>
      <c r="E419" s="19">
        <v>938</v>
      </c>
      <c r="F419" s="19">
        <v>16</v>
      </c>
      <c r="G419" s="19">
        <v>0</v>
      </c>
      <c r="H419" s="19">
        <v>0</v>
      </c>
      <c r="I419" s="19">
        <v>6</v>
      </c>
      <c r="J419" s="19">
        <v>15.47</v>
      </c>
      <c r="K419" s="19">
        <v>6</v>
      </c>
      <c r="L419" s="19">
        <v>15.47</v>
      </c>
      <c r="M419" s="19">
        <v>0</v>
      </c>
    </row>
    <row r="420" s="17" customFormat="1" spans="1:13">
      <c r="A420" s="19" t="s">
        <v>104</v>
      </c>
      <c r="B420" s="19" t="s">
        <v>212</v>
      </c>
      <c r="C420" s="19" t="s">
        <v>213</v>
      </c>
      <c r="D420" s="19">
        <v>174.26</v>
      </c>
      <c r="E420" s="19">
        <v>2230</v>
      </c>
      <c r="F420" s="19">
        <v>37</v>
      </c>
      <c r="G420" s="19">
        <v>0</v>
      </c>
      <c r="H420" s="19">
        <v>0</v>
      </c>
      <c r="I420" s="19">
        <v>10</v>
      </c>
      <c r="J420" s="19">
        <v>17.43</v>
      </c>
      <c r="K420" s="19">
        <v>10</v>
      </c>
      <c r="L420" s="19">
        <v>17.43</v>
      </c>
      <c r="M420" s="19">
        <v>0</v>
      </c>
    </row>
    <row r="421" s="17" customFormat="1" spans="1:13">
      <c r="A421" s="19" t="s">
        <v>105</v>
      </c>
      <c r="B421" s="19" t="s">
        <v>212</v>
      </c>
      <c r="C421" s="19" t="s">
        <v>213</v>
      </c>
      <c r="D421" s="19">
        <v>222.48</v>
      </c>
      <c r="E421" s="19">
        <v>2729</v>
      </c>
      <c r="F421" s="19">
        <v>67</v>
      </c>
      <c r="G421" s="19">
        <v>1</v>
      </c>
      <c r="H421" s="19">
        <v>222.48</v>
      </c>
      <c r="I421" s="19">
        <v>23</v>
      </c>
      <c r="J421" s="19">
        <v>9.67</v>
      </c>
      <c r="K421" s="19">
        <v>24</v>
      </c>
      <c r="L421" s="19">
        <v>9.27</v>
      </c>
      <c r="M421" s="19">
        <v>30</v>
      </c>
    </row>
    <row r="422" s="17" customFormat="1" spans="1:13">
      <c r="A422" s="19" t="s">
        <v>106</v>
      </c>
      <c r="B422" s="19" t="s">
        <v>212</v>
      </c>
      <c r="C422" s="19" t="s">
        <v>213</v>
      </c>
      <c r="D422" s="19">
        <v>455.05</v>
      </c>
      <c r="E422" s="19">
        <v>5978</v>
      </c>
      <c r="F422" s="19">
        <v>113</v>
      </c>
      <c r="G422" s="19">
        <v>2</v>
      </c>
      <c r="H422" s="19">
        <v>227.53</v>
      </c>
      <c r="I422" s="19">
        <v>28</v>
      </c>
      <c r="J422" s="19">
        <v>16.25</v>
      </c>
      <c r="K422" s="19">
        <v>32</v>
      </c>
      <c r="L422" s="19">
        <v>14.22</v>
      </c>
      <c r="M422" s="19">
        <v>145.8</v>
      </c>
    </row>
    <row r="423" s="17" customFormat="1" spans="1:13">
      <c r="A423" s="19" t="s">
        <v>107</v>
      </c>
      <c r="B423" s="19" t="s">
        <v>212</v>
      </c>
      <c r="C423" s="19" t="s">
        <v>213</v>
      </c>
      <c r="D423" s="19">
        <v>544.33</v>
      </c>
      <c r="E423" s="19">
        <v>6518</v>
      </c>
      <c r="F423" s="19">
        <v>142</v>
      </c>
      <c r="G423" s="19">
        <v>1</v>
      </c>
      <c r="H423" s="19">
        <v>544.33</v>
      </c>
      <c r="I423" s="19">
        <v>49</v>
      </c>
      <c r="J423" s="19">
        <v>11.11</v>
      </c>
      <c r="K423" s="19">
        <v>50</v>
      </c>
      <c r="L423" s="19">
        <v>10.89</v>
      </c>
      <c r="M423" s="19">
        <v>66</v>
      </c>
    </row>
    <row r="424" s="17" customFormat="1" spans="1:13">
      <c r="A424" s="19" t="s">
        <v>108</v>
      </c>
      <c r="B424" s="19" t="s">
        <v>212</v>
      </c>
      <c r="C424" s="19" t="s">
        <v>213</v>
      </c>
      <c r="D424" s="19">
        <v>554.09</v>
      </c>
      <c r="E424" s="19">
        <v>6594</v>
      </c>
      <c r="F424" s="19">
        <v>135</v>
      </c>
      <c r="G424" s="19">
        <v>4</v>
      </c>
      <c r="H424" s="19">
        <v>138.52</v>
      </c>
      <c r="I424" s="19">
        <v>39</v>
      </c>
      <c r="J424" s="19">
        <v>14.21</v>
      </c>
      <c r="K424" s="19">
        <v>41</v>
      </c>
      <c r="L424" s="19">
        <v>13.51</v>
      </c>
      <c r="M424" s="19">
        <v>51.9</v>
      </c>
    </row>
    <row r="425" s="17" customFormat="1" spans="1:13">
      <c r="A425" s="19" t="s">
        <v>109</v>
      </c>
      <c r="B425" s="19" t="s">
        <v>212</v>
      </c>
      <c r="C425" s="19" t="s">
        <v>213</v>
      </c>
      <c r="D425" s="19">
        <v>867.88</v>
      </c>
      <c r="E425" s="19">
        <v>10917</v>
      </c>
      <c r="F425" s="19">
        <v>217</v>
      </c>
      <c r="G425" s="19">
        <v>4</v>
      </c>
      <c r="H425" s="19">
        <v>216.97</v>
      </c>
      <c r="I425" s="19">
        <v>61</v>
      </c>
      <c r="J425" s="19">
        <v>14.23</v>
      </c>
      <c r="K425" s="19">
        <v>73</v>
      </c>
      <c r="L425" s="19">
        <v>11.89</v>
      </c>
      <c r="M425" s="19">
        <v>203.6</v>
      </c>
    </row>
    <row r="426" s="17" customFormat="1" spans="1:13">
      <c r="A426" s="19" t="s">
        <v>110</v>
      </c>
      <c r="B426" s="19" t="s">
        <v>212</v>
      </c>
      <c r="C426" s="19" t="s">
        <v>213</v>
      </c>
      <c r="D426" s="19">
        <v>646.72</v>
      </c>
      <c r="E426" s="19">
        <v>9745</v>
      </c>
      <c r="F426" s="19">
        <v>178</v>
      </c>
      <c r="G426" s="19">
        <v>0</v>
      </c>
      <c r="H426" s="19">
        <v>0</v>
      </c>
      <c r="I426" s="19">
        <v>49</v>
      </c>
      <c r="J426" s="19">
        <v>13.2</v>
      </c>
      <c r="K426" s="19">
        <v>56</v>
      </c>
      <c r="L426" s="19">
        <v>11.55</v>
      </c>
      <c r="M426" s="19">
        <v>0</v>
      </c>
    </row>
    <row r="427" s="17" customFormat="1" spans="1:13">
      <c r="A427" s="19" t="s">
        <v>111</v>
      </c>
      <c r="B427" s="19" t="s">
        <v>212</v>
      </c>
      <c r="C427" s="19" t="s">
        <v>213</v>
      </c>
      <c r="D427" s="19">
        <v>256.75</v>
      </c>
      <c r="E427" s="19">
        <v>3491</v>
      </c>
      <c r="F427" s="19">
        <v>80</v>
      </c>
      <c r="G427" s="19">
        <v>2</v>
      </c>
      <c r="H427" s="19">
        <v>128.38</v>
      </c>
      <c r="I427" s="19">
        <v>20</v>
      </c>
      <c r="J427" s="19">
        <v>12.84</v>
      </c>
      <c r="K427" s="19">
        <v>25</v>
      </c>
      <c r="L427" s="19">
        <v>10.27</v>
      </c>
      <c r="M427" s="19">
        <v>12</v>
      </c>
    </row>
    <row r="428" s="17" customFormat="1" spans="1:13">
      <c r="A428" s="19" t="s">
        <v>112</v>
      </c>
      <c r="B428" s="19" t="s">
        <v>212</v>
      </c>
      <c r="C428" s="19" t="s">
        <v>213</v>
      </c>
      <c r="D428" s="19">
        <v>272.92</v>
      </c>
      <c r="E428" s="19">
        <v>3716</v>
      </c>
      <c r="F428" s="19">
        <v>67</v>
      </c>
      <c r="G428" s="19">
        <v>0</v>
      </c>
      <c r="H428" s="19">
        <v>0</v>
      </c>
      <c r="I428" s="19">
        <v>16</v>
      </c>
      <c r="J428" s="19">
        <v>17.06</v>
      </c>
      <c r="K428" s="19">
        <v>17</v>
      </c>
      <c r="L428" s="19">
        <v>16.05</v>
      </c>
      <c r="M428" s="19">
        <v>0</v>
      </c>
    </row>
    <row r="429" s="17" customFormat="1" spans="1:13">
      <c r="A429" s="19" t="s">
        <v>113</v>
      </c>
      <c r="B429" s="19" t="s">
        <v>212</v>
      </c>
      <c r="C429" s="19" t="s">
        <v>213</v>
      </c>
      <c r="D429" s="19">
        <v>193.23</v>
      </c>
      <c r="E429" s="19">
        <v>2517</v>
      </c>
      <c r="F429" s="19">
        <v>60</v>
      </c>
      <c r="G429" s="19">
        <v>1</v>
      </c>
      <c r="H429" s="19">
        <v>193.23</v>
      </c>
      <c r="I429" s="19">
        <v>18</v>
      </c>
      <c r="J429" s="19">
        <v>10.74</v>
      </c>
      <c r="K429" s="19">
        <v>20</v>
      </c>
      <c r="L429" s="19">
        <v>9.66</v>
      </c>
      <c r="M429" s="19">
        <v>6</v>
      </c>
    </row>
    <row r="430" s="17" customFormat="1" spans="1:13">
      <c r="A430" s="19" t="s">
        <v>114</v>
      </c>
      <c r="B430" s="19" t="s">
        <v>212</v>
      </c>
      <c r="C430" s="19" t="s">
        <v>213</v>
      </c>
      <c r="D430" s="19">
        <v>226.54</v>
      </c>
      <c r="E430" s="19">
        <v>2930</v>
      </c>
      <c r="F430" s="19">
        <v>64</v>
      </c>
      <c r="G430" s="19">
        <v>0</v>
      </c>
      <c r="H430" s="19">
        <v>0</v>
      </c>
      <c r="I430" s="19">
        <v>13</v>
      </c>
      <c r="J430" s="19">
        <v>17.43</v>
      </c>
      <c r="K430" s="19">
        <v>19</v>
      </c>
      <c r="L430" s="19">
        <v>11.92</v>
      </c>
      <c r="M430" s="19">
        <v>6</v>
      </c>
    </row>
    <row r="431" s="17" customFormat="1" spans="1:13">
      <c r="A431" s="19" t="s">
        <v>115</v>
      </c>
      <c r="B431" s="19" t="s">
        <v>212</v>
      </c>
      <c r="C431" s="19" t="s">
        <v>213</v>
      </c>
      <c r="D431" s="19">
        <v>296.16</v>
      </c>
      <c r="E431" s="19">
        <v>4004</v>
      </c>
      <c r="F431" s="19">
        <v>86</v>
      </c>
      <c r="G431" s="19">
        <v>2</v>
      </c>
      <c r="H431" s="19">
        <v>148.08</v>
      </c>
      <c r="I431" s="19">
        <v>26</v>
      </c>
      <c r="J431" s="19">
        <v>11.39</v>
      </c>
      <c r="K431" s="19">
        <v>26</v>
      </c>
      <c r="L431" s="19">
        <v>11.39</v>
      </c>
      <c r="M431" s="19">
        <v>66</v>
      </c>
    </row>
    <row r="432" s="17" customFormat="1" spans="1:13">
      <c r="A432" s="19" t="s">
        <v>116</v>
      </c>
      <c r="B432" s="19" t="s">
        <v>212</v>
      </c>
      <c r="C432" s="19" t="s">
        <v>213</v>
      </c>
      <c r="D432" s="19">
        <v>512.53</v>
      </c>
      <c r="E432" s="19">
        <v>7502</v>
      </c>
      <c r="F432" s="19">
        <v>177</v>
      </c>
      <c r="G432" s="19">
        <v>0</v>
      </c>
      <c r="H432" s="19">
        <v>0</v>
      </c>
      <c r="I432" s="19">
        <v>37</v>
      </c>
      <c r="J432" s="19">
        <v>13.85</v>
      </c>
      <c r="K432" s="19">
        <v>39</v>
      </c>
      <c r="L432" s="19">
        <v>13.14</v>
      </c>
      <c r="M432" s="19">
        <v>0</v>
      </c>
    </row>
    <row r="433" s="17" customFormat="1" spans="1:13">
      <c r="A433" s="19" t="s">
        <v>117</v>
      </c>
      <c r="B433" s="19" t="s">
        <v>212</v>
      </c>
      <c r="C433" s="19" t="s">
        <v>213</v>
      </c>
      <c r="D433" s="19">
        <v>572.04</v>
      </c>
      <c r="E433" s="19">
        <v>8305</v>
      </c>
      <c r="F433" s="19">
        <v>202</v>
      </c>
      <c r="G433" s="19">
        <v>2</v>
      </c>
      <c r="H433" s="19">
        <v>286.02</v>
      </c>
      <c r="I433" s="19">
        <v>48</v>
      </c>
      <c r="J433" s="19">
        <v>11.92</v>
      </c>
      <c r="K433" s="19">
        <v>54</v>
      </c>
      <c r="L433" s="19">
        <v>10.59</v>
      </c>
      <c r="M433" s="19">
        <v>12</v>
      </c>
    </row>
    <row r="434" s="17" customFormat="1" spans="1:13">
      <c r="A434" s="19" t="s">
        <v>118</v>
      </c>
      <c r="B434" s="19" t="s">
        <v>212</v>
      </c>
      <c r="C434" s="19" t="s">
        <v>213</v>
      </c>
      <c r="D434" s="19">
        <v>479.49</v>
      </c>
      <c r="E434" s="19">
        <v>6680</v>
      </c>
      <c r="F434" s="19">
        <v>148</v>
      </c>
      <c r="G434" s="19">
        <v>0</v>
      </c>
      <c r="H434" s="19">
        <v>0</v>
      </c>
      <c r="I434" s="19">
        <v>40</v>
      </c>
      <c r="J434" s="19">
        <v>11.99</v>
      </c>
      <c r="K434" s="19">
        <v>44</v>
      </c>
      <c r="L434" s="19">
        <v>10.9</v>
      </c>
      <c r="M434" s="19">
        <v>0</v>
      </c>
    </row>
    <row r="435" s="17" customFormat="1" spans="1:13">
      <c r="A435" s="19" t="s">
        <v>119</v>
      </c>
      <c r="B435" s="19" t="s">
        <v>212</v>
      </c>
      <c r="C435" s="19" t="s">
        <v>213</v>
      </c>
      <c r="D435" s="19">
        <v>139.47</v>
      </c>
      <c r="E435" s="19">
        <v>2561</v>
      </c>
      <c r="F435" s="19">
        <v>52</v>
      </c>
      <c r="G435" s="19">
        <v>0</v>
      </c>
      <c r="H435" s="19">
        <v>0</v>
      </c>
      <c r="I435" s="19">
        <v>16</v>
      </c>
      <c r="J435" s="19">
        <v>8.72</v>
      </c>
      <c r="K435" s="19">
        <v>19</v>
      </c>
      <c r="L435" s="19">
        <v>7.34</v>
      </c>
      <c r="M435" s="19">
        <v>0</v>
      </c>
    </row>
    <row r="436" s="17" customFormat="1" spans="1:13">
      <c r="A436" s="19" t="s">
        <v>120</v>
      </c>
      <c r="B436" s="19" t="s">
        <v>212</v>
      </c>
      <c r="C436" s="19" t="s">
        <v>213</v>
      </c>
      <c r="D436" s="19">
        <v>0</v>
      </c>
      <c r="E436" s="19">
        <v>301</v>
      </c>
      <c r="F436" s="19">
        <v>10</v>
      </c>
      <c r="G436" s="19">
        <v>0</v>
      </c>
      <c r="H436" s="19">
        <v>0</v>
      </c>
      <c r="I436" s="19">
        <v>2</v>
      </c>
      <c r="J436" s="19">
        <v>0</v>
      </c>
      <c r="K436" s="19">
        <v>2</v>
      </c>
      <c r="L436" s="19">
        <v>0</v>
      </c>
      <c r="M436" s="19">
        <v>0</v>
      </c>
    </row>
    <row r="437" s="17" customFormat="1" spans="1:13">
      <c r="A437" s="19" t="s">
        <v>121</v>
      </c>
      <c r="B437" s="19" t="s">
        <v>212</v>
      </c>
      <c r="C437" s="19" t="s">
        <v>213</v>
      </c>
      <c r="D437" s="19">
        <v>0</v>
      </c>
      <c r="E437" s="19">
        <v>183</v>
      </c>
      <c r="F437" s="19">
        <v>3</v>
      </c>
      <c r="G437" s="19">
        <v>1</v>
      </c>
      <c r="H437" s="19">
        <v>0</v>
      </c>
      <c r="I437" s="19">
        <v>2</v>
      </c>
      <c r="J437" s="19">
        <v>0</v>
      </c>
      <c r="K437" s="19">
        <v>2</v>
      </c>
      <c r="L437" s="19">
        <v>0</v>
      </c>
      <c r="M437" s="19">
        <v>36</v>
      </c>
    </row>
    <row r="438" s="17" customFormat="1" spans="1:13">
      <c r="A438" s="19" t="s">
        <v>122</v>
      </c>
      <c r="B438" s="19" t="s">
        <v>212</v>
      </c>
      <c r="C438" s="19" t="s">
        <v>213</v>
      </c>
      <c r="D438" s="19">
        <v>0</v>
      </c>
      <c r="E438" s="19">
        <v>111</v>
      </c>
      <c r="F438" s="19">
        <v>7</v>
      </c>
      <c r="G438" s="19">
        <v>0</v>
      </c>
      <c r="H438" s="19">
        <v>0</v>
      </c>
      <c r="I438" s="19">
        <v>3</v>
      </c>
      <c r="J438" s="19">
        <v>0</v>
      </c>
      <c r="K438" s="19">
        <v>3</v>
      </c>
      <c r="L438" s="19">
        <v>0</v>
      </c>
      <c r="M438" s="19">
        <v>0</v>
      </c>
    </row>
    <row r="439" s="17" customFormat="1" spans="1:13">
      <c r="A439" s="19" t="s">
        <v>123</v>
      </c>
      <c r="B439" s="19" t="s">
        <v>212</v>
      </c>
      <c r="C439" s="19" t="s">
        <v>213</v>
      </c>
      <c r="D439" s="19">
        <v>0</v>
      </c>
      <c r="E439" s="19">
        <v>38</v>
      </c>
      <c r="F439" s="19">
        <v>4</v>
      </c>
      <c r="G439" s="19">
        <v>0</v>
      </c>
      <c r="H439" s="19">
        <v>0</v>
      </c>
      <c r="I439" s="19">
        <v>0</v>
      </c>
      <c r="J439" s="19">
        <v>0</v>
      </c>
      <c r="K439" s="19">
        <v>0</v>
      </c>
      <c r="L439" s="19">
        <v>0</v>
      </c>
      <c r="M439" s="19">
        <v>0</v>
      </c>
    </row>
    <row r="440" s="17" customFormat="1" spans="1:13">
      <c r="A440" s="19" t="s">
        <v>124</v>
      </c>
      <c r="B440" s="19" t="s">
        <v>212</v>
      </c>
      <c r="C440" s="19" t="s">
        <v>213</v>
      </c>
      <c r="D440" s="19">
        <v>0</v>
      </c>
      <c r="E440" s="19">
        <v>28</v>
      </c>
      <c r="F440" s="19">
        <v>0</v>
      </c>
      <c r="G440" s="19">
        <v>1</v>
      </c>
      <c r="H440" s="19">
        <v>0</v>
      </c>
      <c r="I440" s="19">
        <v>1</v>
      </c>
      <c r="J440" s="19">
        <v>0</v>
      </c>
      <c r="K440" s="19">
        <v>1</v>
      </c>
      <c r="L440" s="19">
        <v>0</v>
      </c>
      <c r="M440" s="19">
        <v>9.9</v>
      </c>
    </row>
    <row r="441" s="17" customFormat="1" spans="1:13">
      <c r="A441" s="19" t="s">
        <v>125</v>
      </c>
      <c r="B441" s="19" t="s">
        <v>212</v>
      </c>
      <c r="C441" s="19" t="s">
        <v>213</v>
      </c>
      <c r="D441" s="19">
        <v>0</v>
      </c>
      <c r="E441" s="19">
        <v>23</v>
      </c>
      <c r="F441" s="19">
        <v>0</v>
      </c>
      <c r="G441" s="19">
        <v>0</v>
      </c>
      <c r="H441" s="19">
        <v>0</v>
      </c>
      <c r="I441" s="19">
        <v>0</v>
      </c>
      <c r="J441" s="19">
        <v>0</v>
      </c>
      <c r="K441" s="19">
        <v>0</v>
      </c>
      <c r="L441" s="19">
        <v>0</v>
      </c>
      <c r="M441" s="19">
        <v>30</v>
      </c>
    </row>
    <row r="442" s="17" customFormat="1" spans="1:13">
      <c r="A442" s="19" t="s">
        <v>126</v>
      </c>
      <c r="B442" s="19" t="s">
        <v>212</v>
      </c>
      <c r="C442" s="19" t="s">
        <v>213</v>
      </c>
      <c r="D442" s="19">
        <v>0</v>
      </c>
      <c r="E442" s="19">
        <v>10</v>
      </c>
      <c r="F442" s="19">
        <v>1</v>
      </c>
      <c r="G442" s="19">
        <v>0</v>
      </c>
      <c r="H442" s="19">
        <v>0</v>
      </c>
      <c r="I442" s="19">
        <v>0</v>
      </c>
      <c r="J442" s="19">
        <v>0</v>
      </c>
      <c r="K442" s="19">
        <v>0</v>
      </c>
      <c r="L442" s="19">
        <v>0</v>
      </c>
      <c r="M442" s="19">
        <v>0</v>
      </c>
    </row>
    <row r="443" s="17" customFormat="1" spans="1:13">
      <c r="A443" s="19" t="s">
        <v>127</v>
      </c>
      <c r="B443" s="19" t="s">
        <v>212</v>
      </c>
      <c r="C443" s="19" t="s">
        <v>213</v>
      </c>
      <c r="D443" s="19">
        <v>96.68</v>
      </c>
      <c r="E443" s="19">
        <v>1110</v>
      </c>
      <c r="F443" s="19">
        <v>21</v>
      </c>
      <c r="G443" s="19">
        <v>1</v>
      </c>
      <c r="H443" s="19">
        <v>96.68</v>
      </c>
      <c r="I443" s="19">
        <v>6</v>
      </c>
      <c r="J443" s="19">
        <v>16.11</v>
      </c>
      <c r="K443" s="19">
        <v>7</v>
      </c>
      <c r="L443" s="19">
        <v>13.81</v>
      </c>
      <c r="M443" s="19">
        <v>354</v>
      </c>
    </row>
    <row r="444" s="17" customFormat="1" spans="1:13">
      <c r="A444" s="19" t="s">
        <v>128</v>
      </c>
      <c r="B444" s="19" t="s">
        <v>212</v>
      </c>
      <c r="C444" s="19" t="s">
        <v>213</v>
      </c>
      <c r="D444" s="19">
        <v>270.84</v>
      </c>
      <c r="E444" s="19">
        <v>3365</v>
      </c>
      <c r="F444" s="19">
        <v>80</v>
      </c>
      <c r="G444" s="19">
        <v>0</v>
      </c>
      <c r="H444" s="19">
        <v>0</v>
      </c>
      <c r="I444" s="19">
        <v>24</v>
      </c>
      <c r="J444" s="19">
        <v>11.29</v>
      </c>
      <c r="K444" s="19">
        <v>26</v>
      </c>
      <c r="L444" s="19">
        <v>10.42</v>
      </c>
      <c r="M444" s="19">
        <v>148</v>
      </c>
    </row>
    <row r="445" s="17" customFormat="1" spans="1:13">
      <c r="A445" s="19" t="s">
        <v>129</v>
      </c>
      <c r="B445" s="19" t="s">
        <v>212</v>
      </c>
      <c r="C445" s="19" t="s">
        <v>213</v>
      </c>
      <c r="D445" s="19">
        <v>192.7</v>
      </c>
      <c r="E445" s="19">
        <v>2003</v>
      </c>
      <c r="F445" s="19">
        <v>44</v>
      </c>
      <c r="G445" s="19">
        <v>0</v>
      </c>
      <c r="H445" s="19">
        <v>0</v>
      </c>
      <c r="I445" s="19">
        <v>17</v>
      </c>
      <c r="J445" s="19">
        <v>11.34</v>
      </c>
      <c r="K445" s="19">
        <v>19</v>
      </c>
      <c r="L445" s="19">
        <v>10.14</v>
      </c>
      <c r="M445" s="19">
        <v>0</v>
      </c>
    </row>
    <row r="446" s="17" customFormat="1" spans="1:13">
      <c r="A446" s="19" t="s">
        <v>130</v>
      </c>
      <c r="B446" s="19" t="s">
        <v>212</v>
      </c>
      <c r="C446" s="19" t="s">
        <v>213</v>
      </c>
      <c r="D446" s="19">
        <v>139.15</v>
      </c>
      <c r="E446" s="19">
        <v>1980</v>
      </c>
      <c r="F446" s="19">
        <v>36</v>
      </c>
      <c r="G446" s="19">
        <v>0</v>
      </c>
      <c r="H446" s="19">
        <v>0</v>
      </c>
      <c r="I446" s="19">
        <v>16</v>
      </c>
      <c r="J446" s="19">
        <v>8.7</v>
      </c>
      <c r="K446" s="19">
        <v>19</v>
      </c>
      <c r="L446" s="19">
        <v>7.32</v>
      </c>
      <c r="M446" s="19">
        <v>6</v>
      </c>
    </row>
    <row r="447" s="17" customFormat="1" spans="1:13">
      <c r="A447" s="19" t="s">
        <v>131</v>
      </c>
      <c r="B447" s="19" t="s">
        <v>212</v>
      </c>
      <c r="C447" s="19" t="s">
        <v>213</v>
      </c>
      <c r="D447" s="19">
        <v>153.78</v>
      </c>
      <c r="E447" s="19">
        <v>2003</v>
      </c>
      <c r="F447" s="19">
        <v>44</v>
      </c>
      <c r="G447" s="19">
        <v>0</v>
      </c>
      <c r="H447" s="19">
        <v>0</v>
      </c>
      <c r="I447" s="19">
        <v>12</v>
      </c>
      <c r="J447" s="19">
        <v>12.82</v>
      </c>
      <c r="K447" s="19">
        <v>12</v>
      </c>
      <c r="L447" s="19">
        <v>12.82</v>
      </c>
      <c r="M447" s="19">
        <v>0</v>
      </c>
    </row>
    <row r="448" s="17" customFormat="1" spans="1:13">
      <c r="A448" s="19" t="s">
        <v>132</v>
      </c>
      <c r="B448" s="19" t="s">
        <v>212</v>
      </c>
      <c r="C448" s="19" t="s">
        <v>213</v>
      </c>
      <c r="D448" s="19">
        <v>51</v>
      </c>
      <c r="E448" s="19">
        <v>1019</v>
      </c>
      <c r="F448" s="19">
        <v>31</v>
      </c>
      <c r="G448" s="19">
        <v>0</v>
      </c>
      <c r="H448" s="19">
        <v>0</v>
      </c>
      <c r="I448" s="19">
        <v>13</v>
      </c>
      <c r="J448" s="19">
        <v>3.92</v>
      </c>
      <c r="K448" s="19">
        <v>14</v>
      </c>
      <c r="L448" s="19">
        <v>3.64</v>
      </c>
      <c r="M448" s="19">
        <v>0</v>
      </c>
    </row>
    <row r="449" s="17" customFormat="1" spans="1:13">
      <c r="A449" s="19" t="s">
        <v>133</v>
      </c>
      <c r="B449" s="19" t="s">
        <v>212</v>
      </c>
      <c r="C449" s="19" t="s">
        <v>213</v>
      </c>
      <c r="D449" s="19">
        <v>0</v>
      </c>
      <c r="E449" s="19">
        <v>50</v>
      </c>
      <c r="F449" s="19">
        <v>2</v>
      </c>
      <c r="G449" s="19">
        <v>0</v>
      </c>
      <c r="H449" s="19">
        <v>0</v>
      </c>
      <c r="I449" s="19">
        <v>0</v>
      </c>
      <c r="J449" s="19">
        <v>0</v>
      </c>
      <c r="K449" s="19">
        <v>0</v>
      </c>
      <c r="L449" s="19">
        <v>0</v>
      </c>
      <c r="M449" s="19">
        <v>0</v>
      </c>
    </row>
    <row r="450" s="17" customFormat="1" spans="1:13">
      <c r="A450" s="19" t="s">
        <v>134</v>
      </c>
      <c r="B450" s="19" t="s">
        <v>212</v>
      </c>
      <c r="C450" s="19" t="s">
        <v>213</v>
      </c>
      <c r="D450" s="19">
        <v>30.06</v>
      </c>
      <c r="E450" s="19">
        <v>407</v>
      </c>
      <c r="F450" s="19">
        <v>7</v>
      </c>
      <c r="G450" s="19">
        <v>0</v>
      </c>
      <c r="H450" s="19">
        <v>0</v>
      </c>
      <c r="I450" s="19">
        <v>0</v>
      </c>
      <c r="J450" s="19">
        <v>0</v>
      </c>
      <c r="K450" s="19">
        <v>0</v>
      </c>
      <c r="L450" s="19">
        <v>0</v>
      </c>
      <c r="M450" s="19">
        <v>0</v>
      </c>
    </row>
    <row r="451" s="17" customFormat="1" spans="1:13">
      <c r="A451" s="19" t="s">
        <v>135</v>
      </c>
      <c r="B451" s="19" t="s">
        <v>212</v>
      </c>
      <c r="C451" s="19" t="s">
        <v>213</v>
      </c>
      <c r="D451" s="19">
        <v>169.75</v>
      </c>
      <c r="E451" s="19">
        <v>2101</v>
      </c>
      <c r="F451" s="19">
        <v>42</v>
      </c>
      <c r="G451" s="19">
        <v>1</v>
      </c>
      <c r="H451" s="19">
        <v>169.75</v>
      </c>
      <c r="I451" s="19">
        <v>7</v>
      </c>
      <c r="J451" s="19">
        <v>24.25</v>
      </c>
      <c r="K451" s="19">
        <v>9</v>
      </c>
      <c r="L451" s="19">
        <v>18.86</v>
      </c>
      <c r="M451" s="19">
        <v>9.9</v>
      </c>
    </row>
    <row r="452" s="17" customFormat="1" spans="1:13">
      <c r="A452" s="19" t="s">
        <v>136</v>
      </c>
      <c r="B452" s="19" t="s">
        <v>212</v>
      </c>
      <c r="C452" s="19" t="s">
        <v>213</v>
      </c>
      <c r="D452" s="19">
        <v>143.53</v>
      </c>
      <c r="E452" s="19">
        <v>1914</v>
      </c>
      <c r="F452" s="19">
        <v>40</v>
      </c>
      <c r="G452" s="19">
        <v>0</v>
      </c>
      <c r="H452" s="19">
        <v>0</v>
      </c>
      <c r="I452" s="19">
        <v>7</v>
      </c>
      <c r="J452" s="19">
        <v>20.5</v>
      </c>
      <c r="K452" s="19">
        <v>8</v>
      </c>
      <c r="L452" s="19">
        <v>17.94</v>
      </c>
      <c r="M452" s="19">
        <v>0</v>
      </c>
    </row>
    <row r="453" s="17" customFormat="1" spans="1:13">
      <c r="A453" s="19" t="s">
        <v>137</v>
      </c>
      <c r="B453" s="19" t="s">
        <v>212</v>
      </c>
      <c r="C453" s="19" t="s">
        <v>213</v>
      </c>
      <c r="D453" s="19">
        <v>184.21</v>
      </c>
      <c r="E453" s="19">
        <v>2307</v>
      </c>
      <c r="F453" s="19">
        <v>52</v>
      </c>
      <c r="G453" s="19">
        <v>0</v>
      </c>
      <c r="H453" s="19">
        <v>0</v>
      </c>
      <c r="I453" s="19">
        <v>14</v>
      </c>
      <c r="J453" s="19">
        <v>13.16</v>
      </c>
      <c r="K453" s="19">
        <v>16</v>
      </c>
      <c r="L453" s="19">
        <v>11.51</v>
      </c>
      <c r="M453" s="19">
        <v>0</v>
      </c>
    </row>
    <row r="454" s="17" customFormat="1" spans="1:13">
      <c r="A454" s="19" t="s">
        <v>138</v>
      </c>
      <c r="B454" s="19" t="s">
        <v>212</v>
      </c>
      <c r="C454" s="19" t="s">
        <v>213</v>
      </c>
      <c r="D454" s="19">
        <v>168.07</v>
      </c>
      <c r="E454" s="19">
        <v>2522</v>
      </c>
      <c r="F454" s="19">
        <v>49</v>
      </c>
      <c r="G454" s="19">
        <v>0</v>
      </c>
      <c r="H454" s="19">
        <v>0</v>
      </c>
      <c r="I454" s="19">
        <v>16</v>
      </c>
      <c r="J454" s="19">
        <v>10.5</v>
      </c>
      <c r="K454" s="19">
        <v>17</v>
      </c>
      <c r="L454" s="19">
        <v>9.89</v>
      </c>
      <c r="M454" s="19">
        <v>0</v>
      </c>
    </row>
    <row r="455" s="17" customFormat="1" spans="1:13">
      <c r="A455" s="19" t="s">
        <v>139</v>
      </c>
      <c r="B455" s="19" t="s">
        <v>212</v>
      </c>
      <c r="C455" s="19" t="s">
        <v>213</v>
      </c>
      <c r="D455" s="19">
        <v>209.33</v>
      </c>
      <c r="E455" s="19">
        <v>3146</v>
      </c>
      <c r="F455" s="19">
        <v>67</v>
      </c>
      <c r="G455" s="19">
        <v>0</v>
      </c>
      <c r="H455" s="19">
        <v>0</v>
      </c>
      <c r="I455" s="19">
        <v>18</v>
      </c>
      <c r="J455" s="19">
        <v>11.63</v>
      </c>
      <c r="K455" s="19">
        <v>19</v>
      </c>
      <c r="L455" s="19">
        <v>11.02</v>
      </c>
      <c r="M455" s="19">
        <v>0</v>
      </c>
    </row>
    <row r="456" s="17" customFormat="1" spans="1:13">
      <c r="A456" s="19" t="s">
        <v>140</v>
      </c>
      <c r="B456" s="19" t="s">
        <v>212</v>
      </c>
      <c r="C456" s="19" t="s">
        <v>213</v>
      </c>
      <c r="D456" s="19">
        <v>169.93</v>
      </c>
      <c r="E456" s="19">
        <v>2840</v>
      </c>
      <c r="F456" s="19">
        <v>51</v>
      </c>
      <c r="G456" s="19">
        <v>0</v>
      </c>
      <c r="H456" s="19">
        <v>0</v>
      </c>
      <c r="I456" s="19">
        <v>9</v>
      </c>
      <c r="J456" s="19">
        <v>18.88</v>
      </c>
      <c r="K456" s="19">
        <v>12</v>
      </c>
      <c r="L456" s="19">
        <v>14.16</v>
      </c>
      <c r="M456" s="19">
        <v>0</v>
      </c>
    </row>
    <row r="457" s="17" customFormat="1" spans="1:13">
      <c r="A457" s="19" t="s">
        <v>141</v>
      </c>
      <c r="B457" s="19" t="s">
        <v>212</v>
      </c>
      <c r="C457" s="19" t="s">
        <v>213</v>
      </c>
      <c r="D457" s="19">
        <v>172.18</v>
      </c>
      <c r="E457" s="19">
        <v>2646</v>
      </c>
      <c r="F457" s="19">
        <v>59</v>
      </c>
      <c r="G457" s="19">
        <v>1</v>
      </c>
      <c r="H457" s="19">
        <v>172.18</v>
      </c>
      <c r="I457" s="19">
        <v>16</v>
      </c>
      <c r="J457" s="19">
        <v>10.76</v>
      </c>
      <c r="K457" s="19">
        <v>18</v>
      </c>
      <c r="L457" s="19">
        <v>9.57</v>
      </c>
      <c r="M457" s="19">
        <v>12</v>
      </c>
    </row>
    <row r="458" s="17" customFormat="1" spans="1:13">
      <c r="A458" s="19" t="s">
        <v>142</v>
      </c>
      <c r="B458" s="19" t="s">
        <v>212</v>
      </c>
      <c r="C458" s="19" t="s">
        <v>213</v>
      </c>
      <c r="D458" s="19">
        <v>160.63</v>
      </c>
      <c r="E458" s="19">
        <v>2077</v>
      </c>
      <c r="F458" s="19">
        <v>44</v>
      </c>
      <c r="G458" s="19">
        <v>2</v>
      </c>
      <c r="H458" s="19">
        <v>80.32</v>
      </c>
      <c r="I458" s="19">
        <v>17</v>
      </c>
      <c r="J458" s="19">
        <v>9.45</v>
      </c>
      <c r="K458" s="19">
        <v>21</v>
      </c>
      <c r="L458" s="19">
        <v>7.65</v>
      </c>
      <c r="M458" s="19">
        <v>60</v>
      </c>
    </row>
    <row r="459" s="17" customFormat="1" spans="1:13">
      <c r="A459" s="19" t="s">
        <v>143</v>
      </c>
      <c r="B459" s="19" t="s">
        <v>212</v>
      </c>
      <c r="C459" s="19" t="s">
        <v>213</v>
      </c>
      <c r="D459" s="19">
        <v>163.27</v>
      </c>
      <c r="E459" s="19">
        <v>2039</v>
      </c>
      <c r="F459" s="19">
        <v>49</v>
      </c>
      <c r="G459" s="19">
        <v>1</v>
      </c>
      <c r="H459" s="19">
        <v>163.27</v>
      </c>
      <c r="I459" s="19">
        <v>15</v>
      </c>
      <c r="J459" s="19">
        <v>10.88</v>
      </c>
      <c r="K459" s="19">
        <v>17</v>
      </c>
      <c r="L459" s="19">
        <v>9.6</v>
      </c>
      <c r="M459" s="19">
        <v>6</v>
      </c>
    </row>
    <row r="460" s="17" customFormat="1" spans="1:13">
      <c r="A460" s="19" t="s">
        <v>144</v>
      </c>
      <c r="B460" s="19" t="s">
        <v>212</v>
      </c>
      <c r="C460" s="19" t="s">
        <v>213</v>
      </c>
      <c r="D460" s="19">
        <v>263.74</v>
      </c>
      <c r="E460" s="19">
        <v>3131</v>
      </c>
      <c r="F460" s="19">
        <v>82</v>
      </c>
      <c r="G460" s="19">
        <v>0</v>
      </c>
      <c r="H460" s="19">
        <v>0</v>
      </c>
      <c r="I460" s="19">
        <v>19</v>
      </c>
      <c r="J460" s="19">
        <v>13.88</v>
      </c>
      <c r="K460" s="19">
        <v>20</v>
      </c>
      <c r="L460" s="19">
        <v>13.19</v>
      </c>
      <c r="M460" s="19">
        <v>0</v>
      </c>
    </row>
    <row r="461" s="17" customFormat="1" spans="1:13">
      <c r="A461" s="19" t="s">
        <v>145</v>
      </c>
      <c r="B461" s="19" t="s">
        <v>212</v>
      </c>
      <c r="C461" s="19" t="s">
        <v>213</v>
      </c>
      <c r="D461" s="19">
        <v>192.92</v>
      </c>
      <c r="E461" s="19">
        <v>2286</v>
      </c>
      <c r="F461" s="19">
        <v>56</v>
      </c>
      <c r="G461" s="19">
        <v>0</v>
      </c>
      <c r="H461" s="19">
        <v>0</v>
      </c>
      <c r="I461" s="19">
        <v>19</v>
      </c>
      <c r="J461" s="19">
        <v>10.15</v>
      </c>
      <c r="K461" s="19">
        <v>21</v>
      </c>
      <c r="L461" s="19">
        <v>9.19</v>
      </c>
      <c r="M461" s="19">
        <v>0</v>
      </c>
    </row>
    <row r="462" s="17" customFormat="1" spans="1:13">
      <c r="A462" s="19" t="s">
        <v>146</v>
      </c>
      <c r="B462" s="19" t="s">
        <v>212</v>
      </c>
      <c r="C462" s="19" t="s">
        <v>213</v>
      </c>
      <c r="D462" s="19">
        <v>0</v>
      </c>
      <c r="E462" s="19">
        <v>166</v>
      </c>
      <c r="F462" s="19">
        <v>4</v>
      </c>
      <c r="G462" s="19">
        <v>0</v>
      </c>
      <c r="H462" s="19">
        <v>0</v>
      </c>
      <c r="I462" s="19">
        <v>0</v>
      </c>
      <c r="J462" s="19">
        <v>0</v>
      </c>
      <c r="K462" s="19">
        <v>0</v>
      </c>
      <c r="L462" s="19">
        <v>0</v>
      </c>
      <c r="M462" s="19">
        <v>0</v>
      </c>
    </row>
    <row r="463" s="17" customFormat="1" spans="1:13">
      <c r="A463" s="19" t="s">
        <v>147</v>
      </c>
      <c r="B463" s="19" t="s">
        <v>212</v>
      </c>
      <c r="C463" s="19" t="s">
        <v>213</v>
      </c>
      <c r="D463" s="19">
        <v>0</v>
      </c>
      <c r="E463" s="19">
        <v>69</v>
      </c>
      <c r="F463" s="19">
        <v>1</v>
      </c>
      <c r="G463" s="19">
        <v>1</v>
      </c>
      <c r="H463" s="19">
        <v>0</v>
      </c>
      <c r="I463" s="19">
        <v>0</v>
      </c>
      <c r="J463" s="19">
        <v>0</v>
      </c>
      <c r="K463" s="19">
        <v>0</v>
      </c>
      <c r="L463" s="19">
        <v>0</v>
      </c>
      <c r="M463" s="19">
        <v>12</v>
      </c>
    </row>
    <row r="464" s="17" customFormat="1" spans="1:13">
      <c r="A464" s="19" t="s">
        <v>148</v>
      </c>
      <c r="B464" s="19" t="s">
        <v>212</v>
      </c>
      <c r="C464" s="19" t="s">
        <v>213</v>
      </c>
      <c r="D464" s="19">
        <v>0</v>
      </c>
      <c r="E464" s="19">
        <v>35</v>
      </c>
      <c r="F464" s="19">
        <v>2</v>
      </c>
      <c r="G464" s="19">
        <v>0</v>
      </c>
      <c r="H464" s="19">
        <v>0</v>
      </c>
      <c r="I464" s="19">
        <v>1</v>
      </c>
      <c r="J464" s="19">
        <v>0</v>
      </c>
      <c r="K464" s="19">
        <v>2</v>
      </c>
      <c r="L464" s="19">
        <v>0</v>
      </c>
      <c r="M464" s="19">
        <v>0</v>
      </c>
    </row>
    <row r="465" s="17" customFormat="1" spans="1:13">
      <c r="A465" s="19" t="s">
        <v>149</v>
      </c>
      <c r="B465" s="19" t="s">
        <v>212</v>
      </c>
      <c r="C465" s="19" t="s">
        <v>213</v>
      </c>
      <c r="D465" s="19">
        <v>0</v>
      </c>
      <c r="E465" s="19">
        <v>26</v>
      </c>
      <c r="F465" s="19">
        <v>0</v>
      </c>
      <c r="G465" s="19">
        <v>0</v>
      </c>
      <c r="H465" s="19">
        <v>0</v>
      </c>
      <c r="I465" s="19">
        <v>0</v>
      </c>
      <c r="J465" s="19">
        <v>0</v>
      </c>
      <c r="K465" s="19">
        <v>1</v>
      </c>
      <c r="L465" s="19">
        <v>0</v>
      </c>
      <c r="M465" s="19">
        <v>0</v>
      </c>
    </row>
    <row r="466" s="17" customFormat="1" spans="1:13">
      <c r="A466" s="19" t="s">
        <v>150</v>
      </c>
      <c r="B466" s="19" t="s">
        <v>212</v>
      </c>
      <c r="C466" s="19" t="s">
        <v>213</v>
      </c>
      <c r="D466" s="19">
        <v>0</v>
      </c>
      <c r="E466" s="19">
        <v>21</v>
      </c>
      <c r="F466" s="19">
        <v>0</v>
      </c>
      <c r="G466" s="19">
        <v>0</v>
      </c>
      <c r="H466" s="19">
        <v>0</v>
      </c>
      <c r="I466" s="19">
        <v>0</v>
      </c>
      <c r="J466" s="19">
        <v>0</v>
      </c>
      <c r="K466" s="19">
        <v>0</v>
      </c>
      <c r="L466" s="19">
        <v>0</v>
      </c>
      <c r="M466" s="19">
        <v>0</v>
      </c>
    </row>
    <row r="467" s="17" customFormat="1" spans="1:13">
      <c r="A467" s="19" t="s">
        <v>151</v>
      </c>
      <c r="B467" s="19" t="s">
        <v>212</v>
      </c>
      <c r="C467" s="19" t="s">
        <v>213</v>
      </c>
      <c r="D467" s="19">
        <v>0</v>
      </c>
      <c r="E467" s="19">
        <v>20</v>
      </c>
      <c r="F467" s="19">
        <v>0</v>
      </c>
      <c r="G467" s="19">
        <v>0</v>
      </c>
      <c r="H467" s="19">
        <v>0</v>
      </c>
      <c r="I467" s="19">
        <v>0</v>
      </c>
      <c r="J467" s="19">
        <v>0</v>
      </c>
      <c r="K467" s="19">
        <v>0</v>
      </c>
      <c r="L467" s="19">
        <v>0</v>
      </c>
      <c r="M467" s="19">
        <v>0</v>
      </c>
    </row>
    <row r="468" s="17" customFormat="1" spans="1:13">
      <c r="A468" s="19" t="s">
        <v>152</v>
      </c>
      <c r="B468" s="19" t="s">
        <v>212</v>
      </c>
      <c r="C468" s="19" t="s">
        <v>213</v>
      </c>
      <c r="D468" s="19">
        <v>248.67</v>
      </c>
      <c r="E468" s="19">
        <v>3162</v>
      </c>
      <c r="F468" s="19">
        <v>53</v>
      </c>
      <c r="G468" s="19">
        <v>1</v>
      </c>
      <c r="H468" s="19">
        <v>248.67</v>
      </c>
      <c r="I468" s="19">
        <v>13</v>
      </c>
      <c r="J468" s="19">
        <v>19.13</v>
      </c>
      <c r="K468" s="19">
        <v>15</v>
      </c>
      <c r="L468" s="19">
        <v>16.58</v>
      </c>
      <c r="M468" s="19">
        <v>6</v>
      </c>
    </row>
    <row r="469" s="17" customFormat="1" spans="1:13">
      <c r="A469" s="19" t="s">
        <v>153</v>
      </c>
      <c r="B469" s="19" t="s">
        <v>212</v>
      </c>
      <c r="C469" s="19" t="s">
        <v>213</v>
      </c>
      <c r="D469" s="19">
        <v>363.59</v>
      </c>
      <c r="E469" s="19">
        <v>4229</v>
      </c>
      <c r="F469" s="19">
        <v>75</v>
      </c>
      <c r="G469" s="19">
        <v>0</v>
      </c>
      <c r="H469" s="19">
        <v>0</v>
      </c>
      <c r="I469" s="19">
        <v>27</v>
      </c>
      <c r="J469" s="19">
        <v>13.47</v>
      </c>
      <c r="K469" s="19">
        <v>27</v>
      </c>
      <c r="L469" s="19">
        <v>13.47</v>
      </c>
      <c r="M469" s="19">
        <v>0</v>
      </c>
    </row>
    <row r="470" s="17" customFormat="1" spans="1:13">
      <c r="A470" s="19" t="s">
        <v>154</v>
      </c>
      <c r="B470" s="19" t="s">
        <v>212</v>
      </c>
      <c r="C470" s="19" t="s">
        <v>213</v>
      </c>
      <c r="D470" s="19">
        <v>403.37</v>
      </c>
      <c r="E470" s="19">
        <v>5127</v>
      </c>
      <c r="F470" s="19">
        <v>108</v>
      </c>
      <c r="G470" s="19">
        <v>0</v>
      </c>
      <c r="H470" s="19">
        <v>0</v>
      </c>
      <c r="I470" s="19">
        <v>36</v>
      </c>
      <c r="J470" s="19">
        <v>11.2</v>
      </c>
      <c r="K470" s="19">
        <v>40</v>
      </c>
      <c r="L470" s="19">
        <v>10.08</v>
      </c>
      <c r="M470" s="19">
        <v>0</v>
      </c>
    </row>
    <row r="471" s="17" customFormat="1" spans="1:13">
      <c r="A471" s="19" t="s">
        <v>155</v>
      </c>
      <c r="B471" s="19" t="s">
        <v>212</v>
      </c>
      <c r="C471" s="19" t="s">
        <v>213</v>
      </c>
      <c r="D471" s="19">
        <v>413.82</v>
      </c>
      <c r="E471" s="19">
        <v>5055</v>
      </c>
      <c r="F471" s="19">
        <v>83</v>
      </c>
      <c r="G471" s="19">
        <v>1</v>
      </c>
      <c r="H471" s="19">
        <v>413.82</v>
      </c>
      <c r="I471" s="19">
        <v>19</v>
      </c>
      <c r="J471" s="19">
        <v>21.78</v>
      </c>
      <c r="K471" s="19">
        <v>23</v>
      </c>
      <c r="L471" s="19">
        <v>17.99</v>
      </c>
      <c r="M471" s="19">
        <v>6</v>
      </c>
    </row>
    <row r="472" s="17" customFormat="1" spans="1:13">
      <c r="A472" s="19" t="s">
        <v>156</v>
      </c>
      <c r="B472" s="19" t="s">
        <v>212</v>
      </c>
      <c r="C472" s="19" t="s">
        <v>213</v>
      </c>
      <c r="D472" s="19">
        <v>296.79</v>
      </c>
      <c r="E472" s="19">
        <v>4133</v>
      </c>
      <c r="F472" s="19">
        <v>88</v>
      </c>
      <c r="G472" s="19">
        <v>0</v>
      </c>
      <c r="H472" s="19">
        <v>0</v>
      </c>
      <c r="I472" s="19">
        <v>35</v>
      </c>
      <c r="J472" s="19">
        <v>8.48</v>
      </c>
      <c r="K472" s="19">
        <v>38</v>
      </c>
      <c r="L472" s="19">
        <v>7.81</v>
      </c>
      <c r="M472" s="19">
        <v>29.9</v>
      </c>
    </row>
    <row r="473" s="17" customFormat="1" spans="1:13">
      <c r="A473" s="19" t="s">
        <v>157</v>
      </c>
      <c r="B473" s="19" t="s">
        <v>212</v>
      </c>
      <c r="C473" s="19" t="s">
        <v>213</v>
      </c>
      <c r="D473" s="19">
        <v>199.28</v>
      </c>
      <c r="E473" s="19">
        <v>2743</v>
      </c>
      <c r="F473" s="19">
        <v>56</v>
      </c>
      <c r="G473" s="19">
        <v>1</v>
      </c>
      <c r="H473" s="19">
        <v>199.28</v>
      </c>
      <c r="I473" s="19">
        <v>17</v>
      </c>
      <c r="J473" s="19">
        <v>11.72</v>
      </c>
      <c r="K473" s="19">
        <v>18</v>
      </c>
      <c r="L473" s="19">
        <v>11.07</v>
      </c>
      <c r="M473" s="19">
        <v>12</v>
      </c>
    </row>
    <row r="474" s="17" customFormat="1" spans="1:13">
      <c r="A474" s="19" t="s">
        <v>158</v>
      </c>
      <c r="B474" s="19" t="s">
        <v>212</v>
      </c>
      <c r="C474" s="19" t="s">
        <v>213</v>
      </c>
      <c r="D474" s="19">
        <v>247.82</v>
      </c>
      <c r="E474" s="19">
        <v>3340</v>
      </c>
      <c r="F474" s="19">
        <v>59</v>
      </c>
      <c r="G474" s="19">
        <v>0</v>
      </c>
      <c r="H474" s="19">
        <v>0</v>
      </c>
      <c r="I474" s="19">
        <v>14</v>
      </c>
      <c r="J474" s="19">
        <v>17.7</v>
      </c>
      <c r="K474" s="19">
        <v>15</v>
      </c>
      <c r="L474" s="19">
        <v>16.52</v>
      </c>
      <c r="M474" s="19">
        <v>0</v>
      </c>
    </row>
    <row r="475" s="17" customFormat="1" spans="1:13">
      <c r="A475" s="19" t="s">
        <v>159</v>
      </c>
      <c r="B475" s="19" t="s">
        <v>212</v>
      </c>
      <c r="C475" s="19" t="s">
        <v>213</v>
      </c>
      <c r="D475" s="19">
        <v>122.05</v>
      </c>
      <c r="E475" s="19">
        <v>1617</v>
      </c>
      <c r="F475" s="19">
        <v>38</v>
      </c>
      <c r="G475" s="19">
        <v>0</v>
      </c>
      <c r="H475" s="19">
        <v>0</v>
      </c>
      <c r="I475" s="19">
        <v>9</v>
      </c>
      <c r="J475" s="19">
        <v>13.56</v>
      </c>
      <c r="K475" s="19">
        <v>10</v>
      </c>
      <c r="L475" s="19">
        <v>12.21</v>
      </c>
      <c r="M475" s="19">
        <v>0</v>
      </c>
    </row>
    <row r="476" s="17" customFormat="1" spans="1:13">
      <c r="A476" s="19" t="s">
        <v>160</v>
      </c>
      <c r="B476" s="19" t="s">
        <v>212</v>
      </c>
      <c r="C476" s="19" t="s">
        <v>213</v>
      </c>
      <c r="D476" s="19">
        <v>111.35</v>
      </c>
      <c r="E476" s="19">
        <v>1497</v>
      </c>
      <c r="F476" s="19">
        <v>23</v>
      </c>
      <c r="G476" s="19">
        <v>0</v>
      </c>
      <c r="H476" s="19">
        <v>0</v>
      </c>
      <c r="I476" s="19">
        <v>8</v>
      </c>
      <c r="J476" s="19">
        <v>13.92</v>
      </c>
      <c r="K476" s="19">
        <v>8</v>
      </c>
      <c r="L476" s="19">
        <v>13.92</v>
      </c>
      <c r="M476" s="19">
        <v>0</v>
      </c>
    </row>
    <row r="477" s="17" customFormat="1" spans="1:13">
      <c r="A477" s="19" t="s">
        <v>161</v>
      </c>
      <c r="B477" s="19" t="s">
        <v>212</v>
      </c>
      <c r="C477" s="19" t="s">
        <v>213</v>
      </c>
      <c r="D477" s="19">
        <v>110</v>
      </c>
      <c r="E477" s="19">
        <v>1308</v>
      </c>
      <c r="F477" s="19">
        <v>27</v>
      </c>
      <c r="G477" s="19">
        <v>0</v>
      </c>
      <c r="H477" s="19">
        <v>0</v>
      </c>
      <c r="I477" s="19">
        <v>6</v>
      </c>
      <c r="J477" s="19">
        <v>18.33</v>
      </c>
      <c r="K477" s="19">
        <v>6</v>
      </c>
      <c r="L477" s="19">
        <v>18.33</v>
      </c>
      <c r="M477" s="19">
        <v>0</v>
      </c>
    </row>
    <row r="478" s="17" customFormat="1" spans="1:13">
      <c r="A478" s="19" t="s">
        <v>162</v>
      </c>
      <c r="B478" s="19" t="s">
        <v>212</v>
      </c>
      <c r="C478" s="19" t="s">
        <v>213</v>
      </c>
      <c r="D478" s="19">
        <v>118.21</v>
      </c>
      <c r="E478" s="19">
        <v>1456</v>
      </c>
      <c r="F478" s="19">
        <v>27</v>
      </c>
      <c r="G478" s="19">
        <v>1</v>
      </c>
      <c r="H478" s="19">
        <v>118.21</v>
      </c>
      <c r="I478" s="19">
        <v>7</v>
      </c>
      <c r="J478" s="19">
        <v>16.89</v>
      </c>
      <c r="K478" s="19">
        <v>7</v>
      </c>
      <c r="L478" s="19">
        <v>16.89</v>
      </c>
      <c r="M478" s="19">
        <v>12</v>
      </c>
    </row>
    <row r="479" s="17" customFormat="1" spans="1:13">
      <c r="A479" s="19" t="s">
        <v>163</v>
      </c>
      <c r="B479" s="19" t="s">
        <v>212</v>
      </c>
      <c r="C479" s="19" t="s">
        <v>213</v>
      </c>
      <c r="D479" s="19">
        <v>147.54</v>
      </c>
      <c r="E479" s="19">
        <v>1865</v>
      </c>
      <c r="F479" s="19">
        <v>38</v>
      </c>
      <c r="G479" s="19">
        <v>0</v>
      </c>
      <c r="H479" s="19">
        <v>0</v>
      </c>
      <c r="I479" s="19">
        <v>5</v>
      </c>
      <c r="J479" s="19">
        <v>29.51</v>
      </c>
      <c r="K479" s="19">
        <v>6</v>
      </c>
      <c r="L479" s="19">
        <v>24.59</v>
      </c>
      <c r="M479" s="19">
        <v>0</v>
      </c>
    </row>
    <row r="480" s="17" customFormat="1" spans="1:13">
      <c r="A480" s="19" t="s">
        <v>164</v>
      </c>
      <c r="B480" s="19" t="s">
        <v>212</v>
      </c>
      <c r="C480" s="19" t="s">
        <v>213</v>
      </c>
      <c r="D480" s="19">
        <v>180.96</v>
      </c>
      <c r="E480" s="19">
        <v>2166</v>
      </c>
      <c r="F480" s="19">
        <v>60</v>
      </c>
      <c r="G480" s="19">
        <v>0</v>
      </c>
      <c r="H480" s="19">
        <v>0</v>
      </c>
      <c r="I480" s="19">
        <v>24</v>
      </c>
      <c r="J480" s="19">
        <v>7.54</v>
      </c>
      <c r="K480" s="19">
        <v>25</v>
      </c>
      <c r="L480" s="19">
        <v>7.24</v>
      </c>
      <c r="M480" s="19">
        <v>0</v>
      </c>
    </row>
    <row r="481" s="17" customFormat="1" spans="1:13">
      <c r="A481" s="19" t="s">
        <v>165</v>
      </c>
      <c r="B481" s="19" t="s">
        <v>212</v>
      </c>
      <c r="C481" s="19" t="s">
        <v>213</v>
      </c>
      <c r="D481" s="19">
        <v>112.75</v>
      </c>
      <c r="E481" s="19">
        <v>1740</v>
      </c>
      <c r="F481" s="19">
        <v>46</v>
      </c>
      <c r="G481" s="19">
        <v>0</v>
      </c>
      <c r="H481" s="19">
        <v>0</v>
      </c>
      <c r="I481" s="19">
        <v>13</v>
      </c>
      <c r="J481" s="19">
        <v>8.67</v>
      </c>
      <c r="K481" s="19">
        <v>16</v>
      </c>
      <c r="L481" s="19">
        <v>7.05</v>
      </c>
      <c r="M481" s="19">
        <v>0</v>
      </c>
    </row>
    <row r="482" s="17" customFormat="1" spans="1:13">
      <c r="A482" s="19" t="s">
        <v>166</v>
      </c>
      <c r="B482" s="19" t="s">
        <v>212</v>
      </c>
      <c r="C482" s="19" t="s">
        <v>213</v>
      </c>
      <c r="D482" s="19">
        <v>91.02</v>
      </c>
      <c r="E482" s="19">
        <v>1355</v>
      </c>
      <c r="F482" s="19">
        <v>34</v>
      </c>
      <c r="G482" s="19">
        <v>0</v>
      </c>
      <c r="H482" s="19">
        <v>0</v>
      </c>
      <c r="I482" s="19">
        <v>5</v>
      </c>
      <c r="J482" s="19">
        <v>18.2</v>
      </c>
      <c r="K482" s="19">
        <v>6</v>
      </c>
      <c r="L482" s="19">
        <v>15.17</v>
      </c>
      <c r="M482" s="19">
        <v>0</v>
      </c>
    </row>
    <row r="483" s="17" customFormat="1" spans="1:13">
      <c r="A483" s="19" t="s">
        <v>167</v>
      </c>
      <c r="B483" s="19" t="s">
        <v>212</v>
      </c>
      <c r="C483" s="19" t="s">
        <v>213</v>
      </c>
      <c r="D483" s="19">
        <v>66.67</v>
      </c>
      <c r="E483" s="19">
        <v>1020</v>
      </c>
      <c r="F483" s="19">
        <v>26</v>
      </c>
      <c r="G483" s="19">
        <v>0</v>
      </c>
      <c r="H483" s="19">
        <v>0</v>
      </c>
      <c r="I483" s="19">
        <v>5</v>
      </c>
      <c r="J483" s="19">
        <v>13.33</v>
      </c>
      <c r="K483" s="19">
        <v>7</v>
      </c>
      <c r="L483" s="19">
        <v>9.52</v>
      </c>
      <c r="M483" s="19">
        <v>0</v>
      </c>
    </row>
    <row r="484" s="17" customFormat="1" spans="1:13">
      <c r="A484" s="19" t="s">
        <v>168</v>
      </c>
      <c r="B484" s="19" t="s">
        <v>212</v>
      </c>
      <c r="C484" s="19" t="s">
        <v>213</v>
      </c>
      <c r="D484" s="19">
        <v>59.46</v>
      </c>
      <c r="E484" s="19">
        <v>831</v>
      </c>
      <c r="F484" s="19">
        <v>23</v>
      </c>
      <c r="G484" s="19">
        <v>0</v>
      </c>
      <c r="H484" s="19">
        <v>0</v>
      </c>
      <c r="I484" s="19">
        <v>4</v>
      </c>
      <c r="J484" s="19">
        <v>14.87</v>
      </c>
      <c r="K484" s="19">
        <v>6</v>
      </c>
      <c r="L484" s="19">
        <v>9.91</v>
      </c>
      <c r="M484" s="19">
        <v>0</v>
      </c>
    </row>
    <row r="485" s="17" customFormat="1" spans="1:13">
      <c r="A485" s="19" t="s">
        <v>169</v>
      </c>
      <c r="B485" s="19" t="s">
        <v>212</v>
      </c>
      <c r="C485" s="19" t="s">
        <v>213</v>
      </c>
      <c r="D485" s="19">
        <v>2.23</v>
      </c>
      <c r="E485" s="19">
        <v>145</v>
      </c>
      <c r="F485" s="19">
        <v>5</v>
      </c>
      <c r="G485" s="19">
        <v>0</v>
      </c>
      <c r="H485" s="19">
        <v>0</v>
      </c>
      <c r="I485" s="19">
        <v>1</v>
      </c>
      <c r="J485" s="19">
        <v>2.23</v>
      </c>
      <c r="K485" s="19">
        <v>2</v>
      </c>
      <c r="L485" s="19">
        <v>1.12</v>
      </c>
      <c r="M485" s="19">
        <v>0</v>
      </c>
    </row>
    <row r="486" s="17" customFormat="1" spans="1:13">
      <c r="A486" s="19" t="s">
        <v>170</v>
      </c>
      <c r="B486" s="19" t="s">
        <v>212</v>
      </c>
      <c r="C486" s="19" t="s">
        <v>213</v>
      </c>
      <c r="D486" s="19">
        <v>0</v>
      </c>
      <c r="E486" s="19">
        <v>39</v>
      </c>
      <c r="F486" s="19">
        <v>2</v>
      </c>
      <c r="G486" s="19">
        <v>0</v>
      </c>
      <c r="H486" s="19">
        <v>0</v>
      </c>
      <c r="I486" s="19">
        <v>4</v>
      </c>
      <c r="J486" s="19">
        <v>0</v>
      </c>
      <c r="K486" s="19">
        <v>4</v>
      </c>
      <c r="L486" s="19">
        <v>0</v>
      </c>
      <c r="M486" s="19">
        <v>0</v>
      </c>
    </row>
    <row r="487" s="17" customFormat="1" spans="1:13">
      <c r="A487" s="19" t="s">
        <v>171</v>
      </c>
      <c r="B487" s="19" t="s">
        <v>212</v>
      </c>
      <c r="C487" s="19" t="s">
        <v>213</v>
      </c>
      <c r="D487" s="19">
        <v>0</v>
      </c>
      <c r="E487" s="19">
        <v>30</v>
      </c>
      <c r="F487" s="19">
        <v>2</v>
      </c>
      <c r="G487" s="19">
        <v>0</v>
      </c>
      <c r="H487" s="19">
        <v>0</v>
      </c>
      <c r="I487" s="19">
        <v>3</v>
      </c>
      <c r="J487" s="19">
        <v>0</v>
      </c>
      <c r="K487" s="19">
        <v>2</v>
      </c>
      <c r="L487" s="19">
        <v>0</v>
      </c>
      <c r="M487" s="19">
        <v>0</v>
      </c>
    </row>
    <row r="488" s="17" customFormat="1" spans="1:13">
      <c r="A488" s="19" t="s">
        <v>172</v>
      </c>
      <c r="B488" s="19" t="s">
        <v>212</v>
      </c>
      <c r="C488" s="19" t="s">
        <v>213</v>
      </c>
      <c r="D488" s="19">
        <v>0</v>
      </c>
      <c r="E488" s="19">
        <v>3</v>
      </c>
      <c r="F488" s="19">
        <v>1</v>
      </c>
      <c r="G488" s="19">
        <v>0</v>
      </c>
      <c r="H488" s="19">
        <v>0</v>
      </c>
      <c r="I488" s="19">
        <v>1</v>
      </c>
      <c r="J488" s="19">
        <v>0</v>
      </c>
      <c r="K488" s="19">
        <v>1</v>
      </c>
      <c r="L488" s="19">
        <v>0</v>
      </c>
      <c r="M488" s="19">
        <v>0</v>
      </c>
    </row>
    <row r="489" s="17" customFormat="1" spans="1:13">
      <c r="A489" s="19" t="s">
        <v>173</v>
      </c>
      <c r="B489" s="19" t="s">
        <v>212</v>
      </c>
      <c r="C489" s="19" t="s">
        <v>213</v>
      </c>
      <c r="D489" s="19">
        <v>0</v>
      </c>
      <c r="E489" s="19">
        <v>0</v>
      </c>
      <c r="F489" s="19">
        <v>0</v>
      </c>
      <c r="G489" s="19">
        <v>0</v>
      </c>
      <c r="H489" s="19">
        <v>0</v>
      </c>
      <c r="I489" s="19">
        <v>0</v>
      </c>
      <c r="J489" s="19">
        <v>0</v>
      </c>
      <c r="K489" s="19">
        <v>0</v>
      </c>
      <c r="L489" s="19">
        <v>0</v>
      </c>
      <c r="M489" s="19">
        <v>0</v>
      </c>
    </row>
    <row r="490" s="17" customFormat="1" spans="1:13">
      <c r="A490" s="19" t="s">
        <v>174</v>
      </c>
      <c r="B490" s="19" t="s">
        <v>212</v>
      </c>
      <c r="C490" s="19" t="s">
        <v>213</v>
      </c>
      <c r="D490" s="19">
        <v>0</v>
      </c>
      <c r="E490" s="19">
        <v>0</v>
      </c>
      <c r="F490" s="19">
        <v>0</v>
      </c>
      <c r="G490" s="19">
        <v>0</v>
      </c>
      <c r="H490" s="19">
        <v>0</v>
      </c>
      <c r="I490" s="19">
        <v>0</v>
      </c>
      <c r="J490" s="19">
        <v>0</v>
      </c>
      <c r="K490" s="19">
        <v>0</v>
      </c>
      <c r="L490" s="19">
        <v>0</v>
      </c>
      <c r="M490" s="19">
        <v>0</v>
      </c>
    </row>
    <row r="491" s="17" customFormat="1" spans="1:13">
      <c r="A491" s="19" t="s">
        <v>175</v>
      </c>
      <c r="B491" s="19" t="s">
        <v>212</v>
      </c>
      <c r="C491" s="19" t="s">
        <v>213</v>
      </c>
      <c r="D491" s="19">
        <v>0</v>
      </c>
      <c r="E491" s="19">
        <v>0</v>
      </c>
      <c r="F491" s="19">
        <v>0</v>
      </c>
      <c r="G491" s="19">
        <v>0</v>
      </c>
      <c r="H491" s="19">
        <v>0</v>
      </c>
      <c r="I491" s="19">
        <v>0</v>
      </c>
      <c r="J491" s="19">
        <v>0</v>
      </c>
      <c r="K491" s="19">
        <v>0</v>
      </c>
      <c r="L491" s="19">
        <v>0</v>
      </c>
      <c r="M491" s="19">
        <v>0</v>
      </c>
    </row>
    <row r="492" s="17" customFormat="1" spans="1:13">
      <c r="A492" s="19" t="s">
        <v>176</v>
      </c>
      <c r="B492" s="19" t="s">
        <v>212</v>
      </c>
      <c r="C492" s="19" t="s">
        <v>213</v>
      </c>
      <c r="D492" s="19">
        <v>0</v>
      </c>
      <c r="E492" s="19">
        <v>0</v>
      </c>
      <c r="F492" s="19">
        <v>0</v>
      </c>
      <c r="G492" s="19">
        <v>0</v>
      </c>
      <c r="H492" s="19">
        <v>0</v>
      </c>
      <c r="I492" s="19">
        <v>0</v>
      </c>
      <c r="J492" s="19">
        <v>0</v>
      </c>
      <c r="K492" s="19">
        <v>0</v>
      </c>
      <c r="L492" s="19">
        <v>0</v>
      </c>
      <c r="M492" s="19">
        <v>0</v>
      </c>
    </row>
    <row r="493" s="17" customFormat="1" spans="1:13">
      <c r="A493" s="19" t="s">
        <v>177</v>
      </c>
      <c r="B493" s="19" t="s">
        <v>212</v>
      </c>
      <c r="C493" s="19" t="s">
        <v>213</v>
      </c>
      <c r="D493" s="19">
        <v>0</v>
      </c>
      <c r="E493" s="19">
        <v>0</v>
      </c>
      <c r="F493" s="19">
        <v>0</v>
      </c>
      <c r="G493" s="19">
        <v>0</v>
      </c>
      <c r="H493" s="19">
        <v>0</v>
      </c>
      <c r="I493" s="19">
        <v>0</v>
      </c>
      <c r="J493" s="19">
        <v>0</v>
      </c>
      <c r="K493" s="19">
        <v>0</v>
      </c>
      <c r="L493" s="19">
        <v>0</v>
      </c>
      <c r="M493" s="19">
        <v>0</v>
      </c>
    </row>
    <row r="494" s="17" customFormat="1" spans="1:13">
      <c r="A494" s="19" t="s">
        <v>178</v>
      </c>
      <c r="B494" s="19" t="s">
        <v>212</v>
      </c>
      <c r="C494" s="19" t="s">
        <v>213</v>
      </c>
      <c r="D494" s="19">
        <v>0</v>
      </c>
      <c r="E494" s="19">
        <v>0</v>
      </c>
      <c r="F494" s="19">
        <v>0</v>
      </c>
      <c r="G494" s="19">
        <v>0</v>
      </c>
      <c r="H494" s="19">
        <v>0</v>
      </c>
      <c r="I494" s="19">
        <v>0</v>
      </c>
      <c r="J494" s="19">
        <v>0</v>
      </c>
      <c r="K494" s="19">
        <v>0</v>
      </c>
      <c r="L494" s="19">
        <v>0</v>
      </c>
      <c r="M494" s="19">
        <v>0</v>
      </c>
    </row>
    <row r="495" s="17" customFormat="1" spans="1:13">
      <c r="A495" s="19" t="s">
        <v>179</v>
      </c>
      <c r="B495" s="19" t="s">
        <v>212</v>
      </c>
      <c r="C495" s="19" t="s">
        <v>213</v>
      </c>
      <c r="D495" s="19">
        <v>0</v>
      </c>
      <c r="E495" s="19">
        <v>0</v>
      </c>
      <c r="F495" s="19">
        <v>0</v>
      </c>
      <c r="G495" s="19">
        <v>0</v>
      </c>
      <c r="H495" s="19">
        <v>0</v>
      </c>
      <c r="I495" s="19">
        <v>0</v>
      </c>
      <c r="J495" s="19">
        <v>0</v>
      </c>
      <c r="K495" s="19">
        <v>0</v>
      </c>
      <c r="L495" s="19">
        <v>0</v>
      </c>
      <c r="M495" s="19">
        <v>0</v>
      </c>
    </row>
    <row r="496" s="17" customFormat="1" spans="1:13">
      <c r="A496" s="19" t="s">
        <v>180</v>
      </c>
      <c r="B496" s="19" t="s">
        <v>212</v>
      </c>
      <c r="C496" s="19" t="s">
        <v>213</v>
      </c>
      <c r="D496" s="19">
        <v>0</v>
      </c>
      <c r="E496" s="19">
        <v>0</v>
      </c>
      <c r="F496" s="19">
        <v>0</v>
      </c>
      <c r="G496" s="19">
        <v>0</v>
      </c>
      <c r="H496" s="19">
        <v>0</v>
      </c>
      <c r="I496" s="19">
        <v>0</v>
      </c>
      <c r="J496" s="19">
        <v>0</v>
      </c>
      <c r="K496" s="19">
        <v>0</v>
      </c>
      <c r="L496" s="19">
        <v>0</v>
      </c>
      <c r="M496" s="19">
        <v>0</v>
      </c>
    </row>
    <row r="497" s="17" customFormat="1" spans="1:13">
      <c r="A497" s="19" t="s">
        <v>181</v>
      </c>
      <c r="B497" s="19" t="s">
        <v>212</v>
      </c>
      <c r="C497" s="19" t="s">
        <v>213</v>
      </c>
      <c r="D497" s="19">
        <v>0</v>
      </c>
      <c r="E497" s="19">
        <v>0</v>
      </c>
      <c r="F497" s="19">
        <v>0</v>
      </c>
      <c r="G497" s="19">
        <v>0</v>
      </c>
      <c r="H497" s="19">
        <v>0</v>
      </c>
      <c r="I497" s="19">
        <v>0</v>
      </c>
      <c r="J497" s="19">
        <v>0</v>
      </c>
      <c r="K497" s="19">
        <v>0</v>
      </c>
      <c r="L497" s="19">
        <v>0</v>
      </c>
      <c r="M497" s="19">
        <v>0</v>
      </c>
    </row>
    <row r="498" s="17" customFormat="1" spans="1:13">
      <c r="A498" s="19" t="s">
        <v>182</v>
      </c>
      <c r="B498" s="19" t="s">
        <v>212</v>
      </c>
      <c r="C498" s="19" t="s">
        <v>213</v>
      </c>
      <c r="D498" s="19">
        <v>0</v>
      </c>
      <c r="E498" s="19">
        <v>0</v>
      </c>
      <c r="F498" s="19">
        <v>0</v>
      </c>
      <c r="G498" s="19">
        <v>0</v>
      </c>
      <c r="H498" s="19">
        <v>0</v>
      </c>
      <c r="I498" s="19">
        <v>0</v>
      </c>
      <c r="J498" s="19">
        <v>0</v>
      </c>
      <c r="K498" s="19">
        <v>0</v>
      </c>
      <c r="L498" s="19">
        <v>0</v>
      </c>
      <c r="M498" s="19">
        <v>0</v>
      </c>
    </row>
    <row r="499" s="17" customFormat="1" spans="1:13">
      <c r="A499" s="19" t="s">
        <v>183</v>
      </c>
      <c r="B499" s="19" t="s">
        <v>212</v>
      </c>
      <c r="C499" s="19" t="s">
        <v>213</v>
      </c>
      <c r="D499" s="19">
        <v>0</v>
      </c>
      <c r="E499" s="19">
        <v>0</v>
      </c>
      <c r="F499" s="19">
        <v>0</v>
      </c>
      <c r="G499" s="19">
        <v>0</v>
      </c>
      <c r="H499" s="19">
        <v>0</v>
      </c>
      <c r="I499" s="19">
        <v>0</v>
      </c>
      <c r="J499" s="19">
        <v>0</v>
      </c>
      <c r="K499" s="19">
        <v>0</v>
      </c>
      <c r="L499" s="19">
        <v>0</v>
      </c>
      <c r="M499" s="19">
        <v>0</v>
      </c>
    </row>
    <row r="500" s="17" customFormat="1" spans="1:13">
      <c r="A500" s="19" t="s">
        <v>185</v>
      </c>
      <c r="B500" s="19" t="s">
        <v>212</v>
      </c>
      <c r="C500" s="19" t="s">
        <v>213</v>
      </c>
      <c r="D500" s="19">
        <v>0</v>
      </c>
      <c r="E500" s="19">
        <v>0</v>
      </c>
      <c r="F500" s="19">
        <v>0</v>
      </c>
      <c r="G500" s="19">
        <v>0</v>
      </c>
      <c r="H500" s="19">
        <v>0</v>
      </c>
      <c r="I500" s="19">
        <v>0</v>
      </c>
      <c r="J500" s="19">
        <v>0</v>
      </c>
      <c r="K500" s="19">
        <v>0</v>
      </c>
      <c r="L500" s="19">
        <v>0</v>
      </c>
      <c r="M500" s="19">
        <v>0</v>
      </c>
    </row>
    <row r="501" s="17" customFormat="1" spans="1:13">
      <c r="A501" s="19" t="s">
        <v>186</v>
      </c>
      <c r="B501" s="19" t="s">
        <v>212</v>
      </c>
      <c r="C501" s="19" t="s">
        <v>213</v>
      </c>
      <c r="D501" s="19">
        <v>0</v>
      </c>
      <c r="E501" s="19">
        <v>0</v>
      </c>
      <c r="F501" s="19">
        <v>0</v>
      </c>
      <c r="G501" s="19">
        <v>0</v>
      </c>
      <c r="H501" s="19">
        <v>0</v>
      </c>
      <c r="I501" s="19">
        <v>0</v>
      </c>
      <c r="J501" s="19">
        <v>0</v>
      </c>
      <c r="K501" s="19">
        <v>0</v>
      </c>
      <c r="L501" s="19">
        <v>0</v>
      </c>
      <c r="M501" s="19">
        <v>0</v>
      </c>
    </row>
    <row r="502" s="17" customFormat="1" spans="1:13">
      <c r="A502" s="19" t="s">
        <v>187</v>
      </c>
      <c r="B502" s="19" t="s">
        <v>212</v>
      </c>
      <c r="C502" s="19" t="s">
        <v>213</v>
      </c>
      <c r="D502" s="19">
        <v>0</v>
      </c>
      <c r="E502" s="19">
        <v>0</v>
      </c>
      <c r="F502" s="19">
        <v>0</v>
      </c>
      <c r="G502" s="19">
        <v>0</v>
      </c>
      <c r="H502" s="19">
        <v>0</v>
      </c>
      <c r="I502" s="19">
        <v>0</v>
      </c>
      <c r="J502" s="19">
        <v>0</v>
      </c>
      <c r="K502" s="19">
        <v>0</v>
      </c>
      <c r="L502" s="19">
        <v>0</v>
      </c>
      <c r="M502" s="19">
        <v>0</v>
      </c>
    </row>
    <row r="503" s="17" customFormat="1" spans="1:13">
      <c r="A503" s="19" t="s">
        <v>188</v>
      </c>
      <c r="B503" s="19" t="s">
        <v>212</v>
      </c>
      <c r="C503" s="19" t="s">
        <v>213</v>
      </c>
      <c r="D503" s="19">
        <v>0</v>
      </c>
      <c r="E503" s="19">
        <v>0</v>
      </c>
      <c r="F503" s="19">
        <v>0</v>
      </c>
      <c r="G503" s="19">
        <v>0</v>
      </c>
      <c r="H503" s="19">
        <v>0</v>
      </c>
      <c r="I503" s="19">
        <v>0</v>
      </c>
      <c r="J503" s="19">
        <v>0</v>
      </c>
      <c r="K503" s="19">
        <v>0</v>
      </c>
      <c r="L503" s="19">
        <v>0</v>
      </c>
      <c r="M503" s="19">
        <v>0</v>
      </c>
    </row>
    <row r="504" s="17" customFormat="1" spans="1:13">
      <c r="A504" s="19" t="s">
        <v>190</v>
      </c>
      <c r="B504" s="19" t="s">
        <v>212</v>
      </c>
      <c r="C504" s="19" t="s">
        <v>213</v>
      </c>
      <c r="D504" s="19">
        <v>0</v>
      </c>
      <c r="E504" s="19">
        <v>0</v>
      </c>
      <c r="F504" s="19">
        <v>0</v>
      </c>
      <c r="G504" s="19">
        <v>0</v>
      </c>
      <c r="H504" s="19">
        <v>0</v>
      </c>
      <c r="I504" s="19">
        <v>0</v>
      </c>
      <c r="J504" s="19">
        <v>0</v>
      </c>
      <c r="K504" s="19">
        <v>0</v>
      </c>
      <c r="L504" s="19">
        <v>0</v>
      </c>
      <c r="M504" s="19">
        <v>0</v>
      </c>
    </row>
    <row r="505" s="17" customFormat="1" spans="1:13">
      <c r="A505" s="19" t="s">
        <v>191</v>
      </c>
      <c r="B505" s="19" t="s">
        <v>212</v>
      </c>
      <c r="C505" s="19" t="s">
        <v>213</v>
      </c>
      <c r="D505" s="19">
        <v>0</v>
      </c>
      <c r="E505" s="19">
        <v>0</v>
      </c>
      <c r="F505" s="19">
        <v>0</v>
      </c>
      <c r="G505" s="19">
        <v>0</v>
      </c>
      <c r="H505" s="19">
        <v>0</v>
      </c>
      <c r="I505" s="19">
        <v>0</v>
      </c>
      <c r="J505" s="19">
        <v>0</v>
      </c>
      <c r="K505" s="19">
        <v>0</v>
      </c>
      <c r="L505" s="19">
        <v>0</v>
      </c>
      <c r="M505" s="19">
        <v>0</v>
      </c>
    </row>
    <row r="506" s="17" customFormat="1" spans="1:13">
      <c r="A506" s="19" t="s">
        <v>192</v>
      </c>
      <c r="B506" s="19" t="s">
        <v>212</v>
      </c>
      <c r="C506" s="19" t="s">
        <v>213</v>
      </c>
      <c r="D506" s="19">
        <v>0</v>
      </c>
      <c r="E506" s="19">
        <v>0</v>
      </c>
      <c r="F506" s="19">
        <v>0</v>
      </c>
      <c r="G506" s="19">
        <v>0</v>
      </c>
      <c r="H506" s="19">
        <v>0</v>
      </c>
      <c r="I506" s="19">
        <v>0</v>
      </c>
      <c r="J506" s="19">
        <v>0</v>
      </c>
      <c r="K506" s="19">
        <v>0</v>
      </c>
      <c r="L506" s="19">
        <v>0</v>
      </c>
      <c r="M506" s="19">
        <v>0</v>
      </c>
    </row>
    <row r="507" s="17" customFormat="1" spans="1:13">
      <c r="A507" s="19" t="s">
        <v>194</v>
      </c>
      <c r="B507" s="19" t="s">
        <v>212</v>
      </c>
      <c r="C507" s="19" t="s">
        <v>213</v>
      </c>
      <c r="D507" s="19">
        <v>0</v>
      </c>
      <c r="E507" s="19">
        <v>0</v>
      </c>
      <c r="F507" s="19">
        <v>0</v>
      </c>
      <c r="G507" s="19">
        <v>0</v>
      </c>
      <c r="H507" s="19">
        <v>0</v>
      </c>
      <c r="I507" s="19">
        <v>0</v>
      </c>
      <c r="J507" s="19">
        <v>0</v>
      </c>
      <c r="K507" s="19">
        <v>0</v>
      </c>
      <c r="L507" s="19">
        <v>0</v>
      </c>
      <c r="M507" s="19">
        <v>0</v>
      </c>
    </row>
    <row r="508" s="17" customFormat="1" spans="1:13">
      <c r="A508" s="19" t="s">
        <v>196</v>
      </c>
      <c r="B508" s="19" t="s">
        <v>212</v>
      </c>
      <c r="C508" s="19" t="s">
        <v>213</v>
      </c>
      <c r="D508" s="19">
        <v>0</v>
      </c>
      <c r="E508" s="19">
        <v>0</v>
      </c>
      <c r="F508" s="19">
        <v>0</v>
      </c>
      <c r="G508" s="19">
        <v>0</v>
      </c>
      <c r="H508" s="19">
        <v>0</v>
      </c>
      <c r="I508" s="19">
        <v>0</v>
      </c>
      <c r="J508" s="19">
        <v>0</v>
      </c>
      <c r="K508" s="19">
        <v>0</v>
      </c>
      <c r="L508" s="19">
        <v>0</v>
      </c>
      <c r="M508" s="19">
        <v>0</v>
      </c>
    </row>
    <row r="509" s="17" customFormat="1" spans="1:13">
      <c r="A509" s="19" t="s">
        <v>197</v>
      </c>
      <c r="B509" s="19" t="s">
        <v>212</v>
      </c>
      <c r="C509" s="19" t="s">
        <v>213</v>
      </c>
      <c r="D509" s="19">
        <v>90.69</v>
      </c>
      <c r="E509" s="19">
        <v>639</v>
      </c>
      <c r="F509" s="19">
        <v>14</v>
      </c>
      <c r="G509" s="19">
        <v>0</v>
      </c>
      <c r="H509" s="19">
        <v>0</v>
      </c>
      <c r="I509" s="19">
        <v>1</v>
      </c>
      <c r="J509" s="19">
        <v>90.69</v>
      </c>
      <c r="K509" s="19">
        <v>2</v>
      </c>
      <c r="L509" s="19">
        <v>45.35</v>
      </c>
      <c r="M509" s="19">
        <v>0</v>
      </c>
    </row>
    <row r="510" s="17" customFormat="1" spans="1:13">
      <c r="A510" s="19" t="s">
        <v>198</v>
      </c>
      <c r="B510" s="19" t="s">
        <v>212</v>
      </c>
      <c r="C510" s="19" t="s">
        <v>213</v>
      </c>
      <c r="D510" s="19">
        <v>697.74</v>
      </c>
      <c r="E510" s="19">
        <v>8509</v>
      </c>
      <c r="F510" s="19">
        <v>154</v>
      </c>
      <c r="G510" s="19">
        <v>0</v>
      </c>
      <c r="H510" s="19">
        <v>0</v>
      </c>
      <c r="I510" s="19">
        <v>41</v>
      </c>
      <c r="J510" s="19">
        <v>17.02</v>
      </c>
      <c r="K510" s="19">
        <v>47</v>
      </c>
      <c r="L510" s="19">
        <v>14.85</v>
      </c>
      <c r="M510" s="19">
        <v>0</v>
      </c>
    </row>
    <row r="511" s="17" customFormat="1" spans="1:13">
      <c r="A511" s="19" t="s">
        <v>199</v>
      </c>
      <c r="B511" s="19" t="s">
        <v>212</v>
      </c>
      <c r="C511" s="19" t="s">
        <v>213</v>
      </c>
      <c r="D511" s="19">
        <v>372.2</v>
      </c>
      <c r="E511" s="19">
        <v>5050</v>
      </c>
      <c r="F511" s="19">
        <v>91</v>
      </c>
      <c r="G511" s="19">
        <v>0</v>
      </c>
      <c r="H511" s="19">
        <v>0</v>
      </c>
      <c r="I511" s="19">
        <v>22</v>
      </c>
      <c r="J511" s="19">
        <v>16.92</v>
      </c>
      <c r="K511" s="19">
        <v>27</v>
      </c>
      <c r="L511" s="19">
        <v>13.79</v>
      </c>
      <c r="M511" s="19">
        <v>0</v>
      </c>
    </row>
    <row r="512" s="17" customFormat="1" spans="1:13">
      <c r="A512" s="19" t="s">
        <v>200</v>
      </c>
      <c r="B512" s="19" t="s">
        <v>212</v>
      </c>
      <c r="C512" s="19" t="s">
        <v>213</v>
      </c>
      <c r="D512" s="19">
        <v>131.04</v>
      </c>
      <c r="E512" s="19">
        <v>2009</v>
      </c>
      <c r="F512" s="19">
        <v>41</v>
      </c>
      <c r="G512" s="19">
        <v>1</v>
      </c>
      <c r="H512" s="19">
        <v>131.04</v>
      </c>
      <c r="I512" s="19">
        <v>10</v>
      </c>
      <c r="J512" s="19">
        <v>13.1</v>
      </c>
      <c r="K512" s="19">
        <v>9</v>
      </c>
      <c r="L512" s="19">
        <v>14.56</v>
      </c>
      <c r="M512" s="19">
        <v>6</v>
      </c>
    </row>
    <row r="513" s="17" customFormat="1" spans="1:13">
      <c r="A513" s="19" t="s">
        <v>201</v>
      </c>
      <c r="B513" s="19" t="s">
        <v>212</v>
      </c>
      <c r="C513" s="19" t="s">
        <v>213</v>
      </c>
      <c r="D513" s="19">
        <v>145.55</v>
      </c>
      <c r="E513" s="19">
        <v>2005</v>
      </c>
      <c r="F513" s="19">
        <v>47</v>
      </c>
      <c r="G513" s="19">
        <v>1</v>
      </c>
      <c r="H513" s="19">
        <v>145.55</v>
      </c>
      <c r="I513" s="19">
        <v>15</v>
      </c>
      <c r="J513" s="19">
        <v>9.7</v>
      </c>
      <c r="K513" s="19">
        <v>17</v>
      </c>
      <c r="L513" s="19">
        <v>8.56</v>
      </c>
      <c r="M513" s="19">
        <v>12</v>
      </c>
    </row>
    <row r="514" s="17" customFormat="1" spans="1:13">
      <c r="A514" s="19" t="s">
        <v>202</v>
      </c>
      <c r="B514" s="19" t="s">
        <v>212</v>
      </c>
      <c r="C514" s="19" t="s">
        <v>213</v>
      </c>
      <c r="D514" s="19">
        <v>107.92</v>
      </c>
      <c r="E514" s="19">
        <v>1391</v>
      </c>
      <c r="F514" s="19">
        <v>31</v>
      </c>
      <c r="G514" s="19">
        <v>1</v>
      </c>
      <c r="H514" s="19">
        <v>107.92</v>
      </c>
      <c r="I514" s="19">
        <v>12</v>
      </c>
      <c r="J514" s="19">
        <v>8.99</v>
      </c>
      <c r="K514" s="19">
        <v>12</v>
      </c>
      <c r="L514" s="19">
        <v>8.99</v>
      </c>
      <c r="M514" s="19">
        <v>12</v>
      </c>
    </row>
    <row r="515" s="17" customFormat="1" spans="1:13">
      <c r="A515" s="19" t="s">
        <v>203</v>
      </c>
      <c r="B515" s="19" t="s">
        <v>212</v>
      </c>
      <c r="C515" s="19" t="s">
        <v>213</v>
      </c>
      <c r="D515" s="19">
        <v>81.36</v>
      </c>
      <c r="E515" s="19">
        <v>1053</v>
      </c>
      <c r="F515" s="19">
        <v>26</v>
      </c>
      <c r="G515" s="19">
        <v>0</v>
      </c>
      <c r="H515" s="19">
        <v>0</v>
      </c>
      <c r="I515" s="19">
        <v>10</v>
      </c>
      <c r="J515" s="19">
        <v>8.14</v>
      </c>
      <c r="K515" s="19">
        <v>13</v>
      </c>
      <c r="L515" s="19">
        <v>6.26</v>
      </c>
      <c r="M515" s="19">
        <v>0</v>
      </c>
    </row>
    <row r="516" s="17" customFormat="1" spans="1:13">
      <c r="A516" s="19" t="s">
        <v>204</v>
      </c>
      <c r="B516" s="19" t="s">
        <v>212</v>
      </c>
      <c r="C516" s="19" t="s">
        <v>213</v>
      </c>
      <c r="D516" s="19">
        <v>0.07</v>
      </c>
      <c r="E516" s="19">
        <v>93</v>
      </c>
      <c r="F516" s="19">
        <v>2</v>
      </c>
      <c r="G516" s="19">
        <v>0</v>
      </c>
      <c r="H516" s="19">
        <v>0</v>
      </c>
      <c r="I516" s="19">
        <v>2</v>
      </c>
      <c r="J516" s="19">
        <v>0.04</v>
      </c>
      <c r="K516" s="19">
        <v>2</v>
      </c>
      <c r="L516" s="19">
        <v>0.04</v>
      </c>
      <c r="M516" s="19">
        <v>0</v>
      </c>
    </row>
    <row r="517" s="17" customFormat="1" spans="1:13">
      <c r="A517" s="19" t="s">
        <v>205</v>
      </c>
      <c r="B517" s="19" t="s">
        <v>212</v>
      </c>
      <c r="C517" s="19" t="s">
        <v>213</v>
      </c>
      <c r="D517" s="19">
        <v>0</v>
      </c>
      <c r="E517" s="19">
        <v>28</v>
      </c>
      <c r="F517" s="19">
        <v>2</v>
      </c>
      <c r="G517" s="19">
        <v>1</v>
      </c>
      <c r="H517" s="19">
        <v>0</v>
      </c>
      <c r="I517" s="19">
        <v>0</v>
      </c>
      <c r="J517" s="19">
        <v>0</v>
      </c>
      <c r="K517" s="19">
        <v>0</v>
      </c>
      <c r="L517" s="19">
        <v>0</v>
      </c>
      <c r="M517" s="19">
        <v>305.9</v>
      </c>
    </row>
    <row r="518" s="17" customFormat="1" spans="1:1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</row>
    <row r="519" s="17" customFormat="1" spans="1:1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</row>
    <row r="520" s="17" customFormat="1" spans="1:1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</row>
    <row r="521" s="17" customFormat="1" spans="1:1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</row>
    <row r="522" s="17" customFormat="1" spans="1:1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</row>
    <row r="523" s="17" customFormat="1" spans="1:1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</row>
    <row r="524" s="17" customFormat="1" spans="1:1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</row>
    <row r="525" s="17" customFormat="1" spans="1:1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</row>
    <row r="526" s="17" customFormat="1" spans="1:1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</row>
    <row r="527" s="17" customFormat="1" spans="1:1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</row>
    <row r="528" s="17" customFormat="1" spans="1:1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</row>
    <row r="529" s="17" customFormat="1" spans="1:1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</row>
    <row r="530" s="17" customFormat="1" spans="1:1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</row>
    <row r="531" s="17" customFormat="1" spans="1:1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</row>
    <row r="532" s="17" customFormat="1" spans="1:1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</row>
    <row r="533" s="17" customFormat="1" spans="1:1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</row>
    <row r="534" s="17" customFormat="1" spans="1:1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</row>
    <row r="535" s="17" customFormat="1" spans="1:1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</row>
    <row r="536" s="17" customFormat="1" spans="1:1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</row>
    <row r="537" s="17" customFormat="1" spans="1:1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</row>
    <row r="538" s="17" customFormat="1" spans="1:1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</row>
    <row r="539" s="17" customFormat="1" spans="1:1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</row>
    <row r="540" s="17" customFormat="1" spans="1:1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</row>
    <row r="541" s="17" customFormat="1" spans="1:1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</row>
    <row r="542" s="17" customFormat="1" spans="1:1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</row>
    <row r="543" s="17" customFormat="1" spans="1:1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</row>
    <row r="544" s="17" customFormat="1" spans="1:1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</row>
    <row r="545" s="17" customFormat="1" spans="1:1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</row>
    <row r="546" s="17" customFormat="1" spans="1:1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</row>
    <row r="547" s="17" customFormat="1" spans="1:1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</row>
    <row r="548" s="17" customFormat="1" spans="1:1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</row>
    <row r="549" s="17" customFormat="1" spans="1:1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</row>
    <row r="550" s="17" customFormat="1" spans="1:1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</row>
    <row r="551" s="17" customFormat="1" spans="1:1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</row>
    <row r="552" s="17" customFormat="1" spans="1:1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</row>
    <row r="553" s="17" customFormat="1" spans="1:1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</row>
    <row r="554" s="17" customFormat="1" spans="1:1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</row>
    <row r="555" s="17" customFormat="1" spans="1:1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</row>
    <row r="556" s="17" customFormat="1" spans="1:1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</row>
    <row r="557" s="17" customFormat="1" spans="1:1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</row>
    <row r="558" s="17" customFormat="1" spans="1:1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</row>
    <row r="559" s="17" customFormat="1" spans="1:1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</row>
    <row r="560" s="17" customFormat="1" spans="1:1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</row>
    <row r="561" s="17" customFormat="1" spans="1:1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</row>
    <row r="562" s="17" customFormat="1" spans="1:1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</row>
    <row r="563" s="17" customFormat="1" spans="1:1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</row>
    <row r="564" s="17" customFormat="1" spans="1:1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</row>
    <row r="565" s="17" customFormat="1" spans="1:1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</row>
    <row r="566" s="17" customFormat="1" spans="1:1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</row>
    <row r="567" s="17" customFormat="1" spans="1:1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</row>
    <row r="568" s="17" customFormat="1" spans="1:1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</row>
    <row r="569" s="17" customFormat="1" spans="1:1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</row>
    <row r="570" s="17" customFormat="1" spans="1:1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</row>
    <row r="571" s="17" customFormat="1" spans="1:1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</row>
    <row r="572" s="17" customFormat="1" spans="1:1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</row>
    <row r="573" s="17" customFormat="1" spans="1:1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</row>
    <row r="574" s="17" customFormat="1" spans="1:1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</row>
    <row r="575" s="17" customFormat="1" spans="1:1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</row>
    <row r="576" s="17" customFormat="1" spans="1:1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</row>
    <row r="577" s="17" customFormat="1" spans="1:1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</row>
    <row r="578" s="17" customFormat="1" spans="1:1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</row>
    <row r="579" s="17" customFormat="1" spans="1:1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</row>
    <row r="580" s="17" customFormat="1" spans="1:1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</row>
    <row r="581" s="17" customFormat="1" spans="1:1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</row>
    <row r="582" s="17" customFormat="1" spans="1:1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</row>
    <row r="583" s="17" customFormat="1" spans="1:1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</row>
    <row r="584" s="17" customFormat="1" spans="1:1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</row>
    <row r="585" s="17" customFormat="1" spans="1:1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</row>
    <row r="586" s="17" customFormat="1" spans="1:1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</row>
    <row r="587" s="17" customFormat="1" spans="1:1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</row>
    <row r="588" s="17" customFormat="1" spans="1:1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</row>
    <row r="589" s="17" customFormat="1" spans="1:1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</row>
    <row r="590" s="17" customFormat="1" spans="1:1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</row>
    <row r="591" s="17" customFormat="1" spans="1:1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</row>
    <row r="592" s="17" customFormat="1" spans="1:1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</row>
    <row r="593" s="17" customFormat="1" spans="1:1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</row>
    <row r="594" s="17" customFormat="1" spans="1:1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</row>
    <row r="595" s="17" customFormat="1" spans="1:1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</row>
    <row r="596" s="17" customFormat="1" spans="1:1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</row>
    <row r="597" s="17" customFormat="1" spans="1:1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</row>
    <row r="598" s="17" customFormat="1" spans="1:1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</row>
    <row r="599" s="17" customFormat="1" spans="1:1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</row>
    <row r="600" s="17" customFormat="1" spans="1:1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</row>
    <row r="601" s="17" customFormat="1" spans="1:1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</row>
    <row r="602" s="17" customFormat="1" spans="1:1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</row>
    <row r="603" s="17" customFormat="1" spans="1:1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</row>
    <row r="604" s="17" customFormat="1" spans="1:1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</row>
    <row r="605" s="17" customFormat="1" spans="1:1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</row>
    <row r="606" s="17" customFormat="1" spans="1:1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</row>
    <row r="607" s="17" customFormat="1" spans="1:1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</row>
    <row r="608" s="17" customFormat="1" spans="1:1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</row>
    <row r="609" s="17" customFormat="1" spans="1:1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</row>
    <row r="610" s="17" customFormat="1" spans="1:1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</row>
    <row r="611" s="17" customFormat="1" spans="1:1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</row>
    <row r="612" s="17" customFormat="1" spans="1:1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</row>
    <row r="613" s="17" customFormat="1" spans="1: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</row>
    <row r="614" s="17" customFormat="1" spans="1:1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</row>
    <row r="615" s="17" customFormat="1" spans="1:1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</row>
    <row r="616" s="17" customFormat="1" spans="1:1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</row>
    <row r="617" s="17" customFormat="1" spans="1:1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</row>
    <row r="618" s="17" customFormat="1" spans="1:1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</row>
    <row r="619" s="17" customFormat="1" spans="1:1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</row>
    <row r="620" s="17" customFormat="1" spans="1:1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</row>
    <row r="621" s="17" customFormat="1" spans="1:1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</row>
    <row r="622" s="17" customFormat="1" spans="1:1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</row>
    <row r="623" s="17" customFormat="1" spans="1:1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</row>
    <row r="624" s="17" customFormat="1" spans="1:1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</row>
    <row r="625" s="17" customFormat="1" spans="1:1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</row>
    <row r="626" s="17" customFormat="1" spans="1:1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</row>
    <row r="627" s="17" customFormat="1" spans="1:1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</row>
    <row r="628" s="17" customFormat="1" spans="1:1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</row>
    <row r="629" s="17" customFormat="1" spans="1:1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</row>
    <row r="630" s="17" customFormat="1" spans="1:1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</row>
    <row r="631" s="17" customFormat="1" spans="1:1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</row>
    <row r="632" s="17" customFormat="1" spans="1:1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</row>
    <row r="633" s="17" customFormat="1" spans="1:1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</row>
    <row r="634" s="17" customFormat="1" spans="1:1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</row>
    <row r="635" s="17" customFormat="1" spans="1:1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</row>
    <row r="636" s="17" customFormat="1" spans="1:1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</row>
    <row r="637" s="17" customFormat="1" spans="1:1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</row>
    <row r="638" s="17" customFormat="1" spans="1:1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</row>
    <row r="639" s="17" customFormat="1" spans="1:1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</row>
    <row r="640" s="17" customFormat="1" spans="1:1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</row>
    <row r="641" s="17" customFormat="1" spans="1:1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</row>
    <row r="642" s="17" customFormat="1" spans="1:1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</row>
    <row r="643" s="17" customFormat="1" spans="1:1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</row>
    <row r="644" s="17" customFormat="1" spans="1:1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</row>
    <row r="645" s="17" customFormat="1" spans="1:1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</row>
    <row r="646" s="17" customFormat="1" spans="1:1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</row>
    <row r="647" s="17" customFormat="1" spans="1:1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</row>
    <row r="648" s="17" customFormat="1" spans="1:1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</row>
    <row r="649" s="17" customFormat="1" spans="1:1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</row>
    <row r="650" s="17" customFormat="1" spans="1:1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</row>
    <row r="651" s="17" customFormat="1" spans="1:1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</row>
    <row r="652" s="17" customFormat="1" spans="1:1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</row>
    <row r="653" s="17" customFormat="1" spans="1:1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</row>
    <row r="654" s="17" customFormat="1" spans="1:1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</row>
    <row r="655" s="17" customFormat="1" spans="1:1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</row>
    <row r="656" s="17" customFormat="1" spans="1:1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</row>
    <row r="657" s="17" customFormat="1" spans="1:1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</row>
    <row r="658" s="17" customFormat="1" spans="1:1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</row>
    <row r="659" s="17" customFormat="1" spans="1:1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</row>
    <row r="660" s="17" customFormat="1" spans="1:1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</row>
    <row r="661" s="17" customFormat="1" spans="1:1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</row>
    <row r="662" s="17" customFormat="1" spans="1:1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</row>
    <row r="663" s="17" customFormat="1" spans="1:1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</row>
    <row r="664" s="17" customFormat="1" spans="1:1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</row>
    <row r="665" s="17" customFormat="1" spans="1:1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</row>
    <row r="666" s="17" customFormat="1" spans="1:1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</row>
    <row r="667" s="17" customFormat="1" spans="1:1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</row>
    <row r="668" s="17" customFormat="1" spans="1:1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</row>
    <row r="669" s="17" customFormat="1" spans="1:1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</row>
    <row r="670" s="17" customFormat="1" spans="1:1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</row>
    <row r="671" s="17" customFormat="1" spans="1:1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</row>
    <row r="672" s="17" customFormat="1" spans="1:1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</row>
    <row r="673" s="17" customFormat="1" spans="1:1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</row>
    <row r="674" s="17" customFormat="1" spans="1:1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</row>
    <row r="675" s="17" customFormat="1" spans="1:1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</row>
    <row r="676" s="17" customFormat="1" spans="1:1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</row>
    <row r="677" s="17" customFormat="1" spans="1:1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</row>
    <row r="678" s="17" customFormat="1" spans="1:1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</row>
    <row r="679" s="17" customFormat="1" spans="1:1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</row>
    <row r="680" s="17" customFormat="1" spans="1:1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</row>
    <row r="681" s="17" customFormat="1" spans="1:1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</row>
    <row r="682" s="17" customFormat="1" spans="1:1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</row>
    <row r="683" s="17" customFormat="1" spans="1:1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</row>
    <row r="684" s="17" customFormat="1" spans="1:1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</row>
    <row r="685" s="17" customFormat="1" spans="1:1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</row>
    <row r="686" s="17" customFormat="1" spans="1:1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</row>
    <row r="687" s="17" customFormat="1" spans="1:1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</row>
    <row r="688" s="17" customFormat="1" spans="1:1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</row>
    <row r="689" s="17" customFormat="1" spans="1:1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</row>
    <row r="690" s="17" customFormat="1" spans="1:1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</row>
    <row r="691" s="17" customFormat="1" spans="1:1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</row>
    <row r="692" s="17" customFormat="1" spans="1:1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</row>
    <row r="693" s="17" customFormat="1" spans="1:1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</row>
    <row r="694" s="17" customFormat="1" spans="1:1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</row>
    <row r="695" s="17" customFormat="1" spans="1:1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</row>
    <row r="696" s="17" customFormat="1" spans="1:1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</row>
    <row r="697" s="17" customFormat="1" spans="1:1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</row>
    <row r="698" s="17" customFormat="1" spans="1:1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</row>
    <row r="699" s="17" customFormat="1" spans="1:1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</row>
    <row r="700" s="17" customFormat="1" spans="1:1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</row>
    <row r="701" s="17" customFormat="1" spans="1:1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</row>
    <row r="702" s="17" customFormat="1" spans="1:1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</row>
    <row r="703" s="17" customFormat="1" spans="1:1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</row>
    <row r="704" s="17" customFormat="1" spans="1:1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</row>
    <row r="705" s="17" customFormat="1" spans="1:1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</row>
    <row r="706" s="17" customFormat="1" spans="1:1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</row>
    <row r="707" s="17" customFormat="1" spans="1:1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</row>
    <row r="708" s="17" customFormat="1" spans="1:1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</row>
    <row r="709" s="17" customFormat="1" spans="1:1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</row>
    <row r="710" s="17" customFormat="1" spans="1:1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</row>
    <row r="711" s="17" customFormat="1" spans="1:1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</row>
    <row r="712" s="17" customFormat="1" spans="1:1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</row>
    <row r="713" s="17" customFormat="1" spans="1: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</row>
    <row r="714" s="17" customFormat="1" spans="1:1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</row>
    <row r="715" s="17" customFormat="1" spans="1:1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</row>
    <row r="716" s="17" customFormat="1" spans="1:1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</row>
    <row r="717" s="17" customFormat="1" spans="1:1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</row>
    <row r="718" s="17" customFormat="1" spans="1:1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</row>
    <row r="719" s="17" customFormat="1" spans="1:1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</row>
    <row r="720" s="17" customFormat="1" spans="1:1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</row>
    <row r="721" s="17" customFormat="1" spans="1:1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</row>
    <row r="722" s="17" customFormat="1" spans="1:1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</row>
    <row r="723" s="17" customFormat="1" spans="1:1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</row>
    <row r="724" s="17" customFormat="1" spans="1:1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</row>
    <row r="725" s="17" customFormat="1" spans="1:1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</row>
    <row r="726" s="17" customFormat="1" spans="1:1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</row>
    <row r="727" s="17" customFormat="1" spans="1:1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</row>
    <row r="728" s="17" customFormat="1" spans="1:1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</row>
    <row r="729" s="17" customFormat="1" spans="1:1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</row>
    <row r="730" s="17" customFormat="1" spans="1:1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</row>
    <row r="731" s="17" customFormat="1" spans="1:1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</row>
    <row r="732" s="17" customFormat="1" spans="1:1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</row>
    <row r="733" s="17" customFormat="1" spans="1:1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</row>
    <row r="734" s="17" customFormat="1" spans="1:1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</row>
    <row r="735" s="17" customFormat="1" spans="1:1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</row>
    <row r="736" s="17" customFormat="1" spans="1:1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</row>
    <row r="737" s="17" customFormat="1" spans="1:1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</row>
    <row r="738" s="17" customFormat="1" spans="1:1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</row>
    <row r="739" s="17" customFormat="1" spans="1:1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</row>
    <row r="740" s="17" customFormat="1" spans="1:1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</row>
    <row r="741" s="17" customFormat="1" spans="1:1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</row>
    <row r="742" s="17" customFormat="1" spans="1:1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</row>
    <row r="743" s="17" customFormat="1" spans="1:1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</row>
    <row r="744" s="17" customFormat="1" spans="1:1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</row>
    <row r="745" s="17" customFormat="1" spans="1:1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</row>
    <row r="746" s="17" customFormat="1" spans="1:1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</row>
    <row r="747" s="17" customFormat="1" spans="1:1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</row>
    <row r="748" s="17" customFormat="1" spans="1:1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</row>
    <row r="749" s="17" customFormat="1" spans="1:1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</row>
    <row r="750" s="17" customFormat="1" spans="1:1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</row>
    <row r="751" s="17" customFormat="1" spans="1:1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</row>
    <row r="752" s="17" customFormat="1" spans="1:1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</row>
    <row r="753" s="17" customFormat="1" spans="1:1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</row>
    <row r="754" s="17" customFormat="1" spans="1:1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</row>
    <row r="755" s="17" customFormat="1" spans="1:1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</row>
    <row r="756" s="17" customFormat="1" spans="1:1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</row>
    <row r="757" s="17" customFormat="1" spans="1:1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</row>
    <row r="758" s="17" customFormat="1" spans="1:1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</row>
    <row r="759" s="17" customFormat="1" spans="1:1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</row>
    <row r="760" s="17" customFormat="1" spans="1:1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</row>
    <row r="761" s="17" customFormat="1" spans="1:1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</row>
    <row r="762" s="17" customFormat="1" spans="1:1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</row>
    <row r="763" s="17" customFormat="1" spans="1:1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</row>
    <row r="764" s="17" customFormat="1" spans="1:1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</row>
    <row r="765" s="17" customFormat="1" spans="1:1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</row>
    <row r="766" s="17" customFormat="1" spans="1:1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</row>
    <row r="767" s="17" customFormat="1" spans="1:1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</row>
    <row r="768" s="17" customFormat="1" spans="1:1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</row>
    <row r="769" s="17" customFormat="1" spans="1:1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</row>
    <row r="770" s="17" customFormat="1" spans="1:1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</row>
    <row r="771" s="17" customFormat="1" spans="1:1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</row>
    <row r="772" s="17" customFormat="1" spans="1:1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</row>
    <row r="773" s="17" customFormat="1" spans="1:1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</row>
    <row r="774" s="17" customFormat="1" spans="1:1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</row>
    <row r="775" s="17" customFormat="1" spans="1:1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</row>
    <row r="776" s="17" customFormat="1" spans="1:1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</row>
    <row r="777" s="17" customFormat="1" spans="1:1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</row>
    <row r="778" s="17" customFormat="1" spans="1:1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</row>
    <row r="779" s="17" customFormat="1" spans="1:1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</row>
    <row r="780" s="17" customFormat="1" spans="1:1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</row>
    <row r="781" s="17" customFormat="1" spans="1:1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</row>
    <row r="782" s="17" customFormat="1" spans="1:1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</row>
    <row r="783" s="17" customFormat="1" spans="1:1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</row>
    <row r="784" s="17" customFormat="1" spans="1:1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</row>
    <row r="785" s="17" customFormat="1" spans="1:1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</row>
    <row r="786" s="17" customFormat="1" spans="1:1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</row>
    <row r="787" s="17" customFormat="1" spans="1:1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</row>
    <row r="788" s="17" customFormat="1" spans="1:1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</row>
    <row r="789" s="17" customFormat="1" spans="1:1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</row>
    <row r="790" s="17" customFormat="1" spans="1:1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</row>
    <row r="791" s="17" customFormat="1" spans="1:1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</row>
    <row r="792" s="17" customFormat="1" spans="1:1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</row>
    <row r="793" s="17" customFormat="1" spans="1:1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</row>
    <row r="794" s="17" customFormat="1" spans="1:1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</row>
    <row r="795" s="17" customFormat="1" spans="1:1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</row>
    <row r="796" s="17" customFormat="1" spans="1:1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</row>
    <row r="797" s="17" customFormat="1" spans="1:1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</row>
    <row r="798" s="17" customFormat="1" spans="1:1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</row>
    <row r="799" s="17" customFormat="1" spans="1:1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</row>
    <row r="800" s="17" customFormat="1" spans="1:1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</row>
    <row r="801" s="17" customFormat="1" spans="1:1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</row>
    <row r="802" s="17" customFormat="1" spans="1:1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</row>
    <row r="803" s="17" customFormat="1" spans="1:1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</row>
    <row r="804" s="17" customFormat="1" spans="1:1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</row>
    <row r="805" s="17" customFormat="1" spans="1:1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</row>
    <row r="806" s="17" customFormat="1" spans="1:1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</row>
    <row r="807" s="17" customFormat="1" spans="1:1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</row>
    <row r="808" s="17" customFormat="1" spans="1:1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</row>
    <row r="809" s="17" customFormat="1" spans="1:1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</row>
    <row r="810" s="17" customFormat="1" spans="1:1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</row>
    <row r="811" s="17" customFormat="1" spans="1:1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</row>
    <row r="812" s="17" customFormat="1" spans="1:1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</row>
    <row r="813" s="17" customFormat="1" spans="1: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</row>
    <row r="814" s="17" customFormat="1" spans="1:1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</row>
    <row r="815" s="17" customFormat="1" spans="1:1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</row>
    <row r="816" s="17" customFormat="1" spans="1:1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</row>
    <row r="817" s="17" customFormat="1" spans="1:1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</row>
    <row r="818" s="17" customFormat="1" spans="1:1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</row>
    <row r="819" s="17" customFormat="1" spans="1:1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</row>
    <row r="820" s="17" customFormat="1" spans="1:1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</row>
    <row r="821" s="17" customFormat="1" spans="1:1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</row>
    <row r="822" s="17" customFormat="1" spans="1:1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</row>
    <row r="823" s="17" customFormat="1" spans="1:1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</row>
    <row r="824" s="17" customFormat="1" spans="1:1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</row>
    <row r="825" s="17" customFormat="1" spans="1:1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</row>
    <row r="826" s="17" customFormat="1" spans="1:1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</row>
    <row r="827" s="17" customFormat="1" spans="1:1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</row>
    <row r="828" s="17" customFormat="1" spans="1:1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</row>
    <row r="829" s="17" customFormat="1" spans="1:1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</row>
    <row r="830" s="17" customFormat="1" spans="1:1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</row>
    <row r="831" s="17" customFormat="1" spans="1:1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</row>
    <row r="832" s="17" customFormat="1" spans="1:1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</row>
    <row r="833" s="17" customFormat="1" spans="1:1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</row>
    <row r="834" s="17" customFormat="1" spans="1:1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</row>
    <row r="835" s="17" customFormat="1" spans="1:1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</row>
    <row r="836" s="17" customFormat="1" spans="1:1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</row>
    <row r="837" s="17" customFormat="1" spans="1:1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</row>
    <row r="838" s="17" customFormat="1" spans="1:1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</row>
    <row r="839" s="17" customFormat="1" spans="1:1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</row>
    <row r="840" s="17" customFormat="1" spans="1:1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</row>
    <row r="841" s="17" customFormat="1" spans="1:1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</row>
    <row r="842" s="17" customFormat="1" spans="1:1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</row>
    <row r="843" s="17" customFormat="1" spans="1:1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</row>
    <row r="844" s="17" customFormat="1" spans="1:1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</row>
    <row r="845" s="17" customFormat="1" spans="1:1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</row>
    <row r="846" s="17" customFormat="1" spans="1:1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</row>
    <row r="847" s="17" customFormat="1" spans="1:1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</row>
    <row r="848" s="17" customFormat="1" spans="1:1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</row>
    <row r="849" s="17" customFormat="1" spans="1:1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</row>
    <row r="850" s="17" customFormat="1" spans="1:1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</row>
    <row r="851" s="17" customFormat="1" spans="1:1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</row>
    <row r="852" s="17" customFormat="1" spans="1:1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</row>
    <row r="853" s="17" customFormat="1" spans="1:1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</row>
    <row r="854" s="17" customFormat="1" spans="1:1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</row>
    <row r="855" s="17" customFormat="1" spans="1:1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</row>
    <row r="856" s="17" customFormat="1" spans="1:1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</row>
    <row r="857" s="17" customFormat="1" spans="1:1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</row>
    <row r="858" s="17" customFormat="1" spans="1:1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</row>
    <row r="859" s="17" customFormat="1" spans="1:1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</row>
    <row r="860" s="17" customFormat="1" spans="1:1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</row>
    <row r="861" s="17" customFormat="1" spans="1:1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</row>
    <row r="862" s="17" customFormat="1" spans="1:1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</row>
    <row r="863" s="17" customFormat="1" spans="1:1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</row>
    <row r="864" s="17" customFormat="1" spans="1:1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</row>
    <row r="865" s="17" customFormat="1" spans="1:1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</row>
    <row r="866" s="17" customFormat="1" spans="1:1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</row>
    <row r="867" s="17" customFormat="1" spans="1:1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</row>
    <row r="868" s="17" customFormat="1" spans="1:1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</row>
    <row r="869" s="17" customFormat="1" spans="1:1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</row>
    <row r="870" s="17" customFormat="1" spans="1:1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</row>
    <row r="871" s="17" customFormat="1" spans="1:1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</row>
    <row r="872" s="17" customFormat="1" spans="1:1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</row>
    <row r="873" s="17" customFormat="1" spans="1:1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</row>
    <row r="874" s="17" customFormat="1" spans="1:1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</row>
    <row r="875" s="17" customFormat="1" spans="1:1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</row>
    <row r="876" s="17" customFormat="1" spans="1:1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</row>
    <row r="877" s="17" customFormat="1" spans="1:1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</row>
    <row r="878" s="17" customFormat="1" spans="1:1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4"/>
  <sheetViews>
    <sheetView workbookViewId="0">
      <selection activeCell="E25" sqref="E25"/>
    </sheetView>
  </sheetViews>
  <sheetFormatPr defaultColWidth="11.0769230769231" defaultRowHeight="16.8"/>
  <cols>
    <col min="1" max="16384" width="11.0769230769231" style="17"/>
  </cols>
  <sheetData>
    <row r="1" s="17" customFormat="1" spans="1:13">
      <c r="A1" s="17" t="s">
        <v>27</v>
      </c>
      <c r="B1" s="17" t="s">
        <v>28</v>
      </c>
      <c r="C1" s="17" t="s">
        <v>29</v>
      </c>
      <c r="D1" s="17" t="s">
        <v>2</v>
      </c>
      <c r="E1" s="17" t="s">
        <v>30</v>
      </c>
      <c r="F1" s="17" t="s">
        <v>31</v>
      </c>
      <c r="G1" s="18" t="s">
        <v>32</v>
      </c>
      <c r="H1" s="18" t="s">
        <v>16</v>
      </c>
      <c r="I1" s="17" t="s">
        <v>33</v>
      </c>
      <c r="J1" s="17" t="s">
        <v>11</v>
      </c>
      <c r="K1" s="17" t="s">
        <v>9</v>
      </c>
      <c r="L1" s="17" t="s">
        <v>34</v>
      </c>
      <c r="M1" s="17" t="s">
        <v>35</v>
      </c>
    </row>
    <row r="2" s="17" customFormat="1" spans="1:13">
      <c r="A2" s="17" t="s">
        <v>214</v>
      </c>
      <c r="B2" s="17" t="s">
        <v>37</v>
      </c>
      <c r="C2" s="17" t="s">
        <v>38</v>
      </c>
      <c r="D2" s="17">
        <v>73.89</v>
      </c>
      <c r="E2" s="17">
        <v>694</v>
      </c>
      <c r="F2" s="17">
        <v>6</v>
      </c>
      <c r="G2" s="17">
        <v>2</v>
      </c>
      <c r="H2" s="17">
        <v>36.95</v>
      </c>
      <c r="I2" s="17">
        <v>4</v>
      </c>
      <c r="J2" s="17">
        <v>18.47</v>
      </c>
      <c r="K2" s="17">
        <v>4</v>
      </c>
      <c r="L2" s="17">
        <v>18.47</v>
      </c>
      <c r="M2" s="17">
        <v>48</v>
      </c>
    </row>
    <row r="3" s="17" customFormat="1" spans="1:13">
      <c r="A3" s="17" t="s">
        <v>215</v>
      </c>
      <c r="B3" s="17" t="s">
        <v>37</v>
      </c>
      <c r="C3" s="17" t="s">
        <v>38</v>
      </c>
      <c r="D3" s="17">
        <v>51.64</v>
      </c>
      <c r="E3" s="17">
        <v>509</v>
      </c>
      <c r="F3" s="17">
        <v>4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90</v>
      </c>
    </row>
    <row r="4" s="17" customFormat="1" spans="1:13">
      <c r="A4" s="17" t="s">
        <v>216</v>
      </c>
      <c r="B4" s="17" t="s">
        <v>37</v>
      </c>
      <c r="C4" s="17" t="s">
        <v>38</v>
      </c>
      <c r="D4" s="17">
        <v>25.46</v>
      </c>
      <c r="E4" s="17">
        <v>304</v>
      </c>
      <c r="F4" s="17">
        <v>5</v>
      </c>
      <c r="G4" s="17">
        <v>0</v>
      </c>
      <c r="H4" s="17">
        <v>0</v>
      </c>
      <c r="I4" s="17">
        <v>2</v>
      </c>
      <c r="J4" s="17">
        <v>12.73</v>
      </c>
      <c r="K4" s="17">
        <v>2</v>
      </c>
      <c r="L4" s="17">
        <v>12.73</v>
      </c>
      <c r="M4" s="17">
        <v>0</v>
      </c>
    </row>
    <row r="5" s="17" customFormat="1" spans="1:13">
      <c r="A5" s="17" t="s">
        <v>217</v>
      </c>
      <c r="B5" s="17" t="s">
        <v>37</v>
      </c>
      <c r="C5" s="17" t="s">
        <v>38</v>
      </c>
      <c r="D5" s="17">
        <v>16.6</v>
      </c>
      <c r="E5" s="17">
        <v>188</v>
      </c>
      <c r="F5" s="17">
        <v>2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</row>
    <row r="6" s="17" customFormat="1" spans="1:13">
      <c r="A6" s="17" t="s">
        <v>218</v>
      </c>
      <c r="B6" s="17" t="s">
        <v>37</v>
      </c>
      <c r="C6" s="17" t="s">
        <v>38</v>
      </c>
      <c r="D6" s="17">
        <v>13.97</v>
      </c>
      <c r="E6" s="17">
        <v>192</v>
      </c>
      <c r="F6" s="17">
        <v>2</v>
      </c>
      <c r="G6" s="17">
        <v>0</v>
      </c>
      <c r="H6" s="17">
        <v>0</v>
      </c>
      <c r="I6" s="17">
        <v>1</v>
      </c>
      <c r="J6" s="17">
        <v>13.97</v>
      </c>
      <c r="K6" s="17">
        <v>1</v>
      </c>
      <c r="L6" s="17">
        <v>13.97</v>
      </c>
      <c r="M6" s="17">
        <v>0</v>
      </c>
    </row>
    <row r="7" s="17" customFormat="1" spans="1:13">
      <c r="A7" s="17" t="s">
        <v>219</v>
      </c>
      <c r="B7" s="17" t="s">
        <v>37</v>
      </c>
      <c r="C7" s="17" t="s">
        <v>38</v>
      </c>
      <c r="D7" s="17">
        <v>14.35</v>
      </c>
      <c r="E7" s="17">
        <v>194</v>
      </c>
      <c r="F7" s="17">
        <v>1</v>
      </c>
      <c r="G7" s="17">
        <v>1</v>
      </c>
      <c r="H7" s="17">
        <v>14.35</v>
      </c>
      <c r="I7" s="17">
        <v>1</v>
      </c>
      <c r="J7" s="17">
        <v>14.35</v>
      </c>
      <c r="K7" s="17">
        <v>1</v>
      </c>
      <c r="L7" s="17">
        <v>14.35</v>
      </c>
      <c r="M7" s="17">
        <v>30</v>
      </c>
    </row>
    <row r="8" s="17" customFormat="1" spans="1:13">
      <c r="A8" s="17" t="s">
        <v>220</v>
      </c>
      <c r="B8" s="17" t="s">
        <v>37</v>
      </c>
      <c r="C8" s="17" t="s">
        <v>38</v>
      </c>
      <c r="D8" s="17">
        <v>17.6</v>
      </c>
      <c r="E8" s="17">
        <v>225</v>
      </c>
      <c r="F8" s="17">
        <v>2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</row>
    <row r="9" s="17" customFormat="1" spans="1:13">
      <c r="A9" s="17" t="s">
        <v>221</v>
      </c>
      <c r="B9" s="17" t="s">
        <v>37</v>
      </c>
      <c r="C9" s="17" t="s">
        <v>38</v>
      </c>
      <c r="D9" s="17">
        <v>26.43</v>
      </c>
      <c r="E9" s="17">
        <v>355</v>
      </c>
      <c r="F9" s="17">
        <v>2</v>
      </c>
      <c r="G9" s="17">
        <v>0</v>
      </c>
      <c r="H9" s="17">
        <v>0</v>
      </c>
      <c r="I9" s="17">
        <v>1</v>
      </c>
      <c r="J9" s="17">
        <v>26.43</v>
      </c>
      <c r="K9" s="17">
        <v>1</v>
      </c>
      <c r="L9" s="17">
        <v>26.43</v>
      </c>
      <c r="M9" s="17">
        <v>0</v>
      </c>
    </row>
    <row r="10" s="17" customFormat="1" spans="1:13">
      <c r="A10" s="17" t="s">
        <v>222</v>
      </c>
      <c r="B10" s="17" t="s">
        <v>37</v>
      </c>
      <c r="C10" s="17" t="s">
        <v>38</v>
      </c>
      <c r="D10" s="17">
        <v>47.5</v>
      </c>
      <c r="E10" s="17">
        <v>482</v>
      </c>
      <c r="F10" s="17">
        <v>4</v>
      </c>
      <c r="G10" s="17">
        <v>0</v>
      </c>
      <c r="H10" s="17">
        <v>0</v>
      </c>
      <c r="I10" s="17">
        <v>1</v>
      </c>
      <c r="J10" s="17">
        <v>47.5</v>
      </c>
      <c r="K10" s="17">
        <v>1</v>
      </c>
      <c r="L10" s="17">
        <v>47.5</v>
      </c>
      <c r="M10" s="17">
        <v>0</v>
      </c>
    </row>
    <row r="11" s="17" customFormat="1" spans="1:13">
      <c r="A11" s="17" t="s">
        <v>223</v>
      </c>
      <c r="B11" s="17" t="s">
        <v>37</v>
      </c>
      <c r="C11" s="17" t="s">
        <v>38</v>
      </c>
      <c r="D11" s="17">
        <v>60.87</v>
      </c>
      <c r="E11" s="17">
        <v>602</v>
      </c>
      <c r="F11" s="17">
        <v>11</v>
      </c>
      <c r="G11" s="17">
        <v>0</v>
      </c>
      <c r="H11" s="17">
        <v>0</v>
      </c>
      <c r="I11" s="17">
        <v>3</v>
      </c>
      <c r="J11" s="17">
        <v>20.29</v>
      </c>
      <c r="K11" s="17">
        <v>3</v>
      </c>
      <c r="L11" s="17">
        <v>20.29</v>
      </c>
      <c r="M11" s="17">
        <v>0</v>
      </c>
    </row>
    <row r="12" s="17" customFormat="1" spans="1:13">
      <c r="A12" s="17" t="s">
        <v>224</v>
      </c>
      <c r="B12" s="17" t="s">
        <v>37</v>
      </c>
      <c r="C12" s="17" t="s">
        <v>38</v>
      </c>
      <c r="D12" s="17">
        <v>82.88</v>
      </c>
      <c r="E12" s="17">
        <v>806</v>
      </c>
      <c r="F12" s="17">
        <v>10</v>
      </c>
      <c r="G12" s="17">
        <v>1</v>
      </c>
      <c r="H12" s="17">
        <v>82.88</v>
      </c>
      <c r="I12" s="17">
        <v>2</v>
      </c>
      <c r="J12" s="17">
        <v>41.44</v>
      </c>
      <c r="K12" s="17">
        <v>3</v>
      </c>
      <c r="L12" s="17">
        <v>27.63</v>
      </c>
      <c r="M12" s="17">
        <v>30</v>
      </c>
    </row>
    <row r="13" s="17" customFormat="1" spans="1:13">
      <c r="A13" s="17" t="s">
        <v>225</v>
      </c>
      <c r="B13" s="17" t="s">
        <v>37</v>
      </c>
      <c r="C13" s="17" t="s">
        <v>38</v>
      </c>
      <c r="D13" s="17">
        <v>83.75</v>
      </c>
      <c r="E13" s="17">
        <v>951</v>
      </c>
      <c r="F13" s="17">
        <v>7</v>
      </c>
      <c r="G13" s="17">
        <v>0</v>
      </c>
      <c r="H13" s="17">
        <v>0</v>
      </c>
      <c r="I13" s="17">
        <v>2</v>
      </c>
      <c r="J13" s="17">
        <v>41.88</v>
      </c>
      <c r="K13" s="17">
        <v>2</v>
      </c>
      <c r="L13" s="17">
        <v>41.88</v>
      </c>
      <c r="M13" s="17">
        <v>0</v>
      </c>
    </row>
    <row r="14" s="17" customFormat="1" spans="1:13">
      <c r="A14" s="17" t="s">
        <v>226</v>
      </c>
      <c r="B14" s="17" t="s">
        <v>37</v>
      </c>
      <c r="C14" s="17" t="s">
        <v>38</v>
      </c>
      <c r="D14" s="17">
        <v>84.67</v>
      </c>
      <c r="E14" s="17">
        <v>952</v>
      </c>
      <c r="F14" s="17">
        <v>10</v>
      </c>
      <c r="G14" s="17">
        <v>1</v>
      </c>
      <c r="H14" s="17">
        <v>84.67</v>
      </c>
      <c r="I14" s="17">
        <v>3</v>
      </c>
      <c r="J14" s="17">
        <v>28.22</v>
      </c>
      <c r="K14" s="17">
        <v>3</v>
      </c>
      <c r="L14" s="17">
        <v>28.22</v>
      </c>
      <c r="M14" s="17">
        <v>6</v>
      </c>
    </row>
    <row r="15" s="17" customFormat="1" spans="1:13">
      <c r="A15" s="17" t="s">
        <v>227</v>
      </c>
      <c r="B15" s="17" t="s">
        <v>37</v>
      </c>
      <c r="C15" s="17" t="s">
        <v>38</v>
      </c>
      <c r="D15" s="17">
        <v>95.52</v>
      </c>
      <c r="E15" s="17">
        <v>1051</v>
      </c>
      <c r="F15" s="17">
        <v>17</v>
      </c>
      <c r="G15" s="17">
        <v>0</v>
      </c>
      <c r="H15" s="17">
        <v>0</v>
      </c>
      <c r="I15" s="17">
        <v>5</v>
      </c>
      <c r="J15" s="17">
        <v>19.1</v>
      </c>
      <c r="K15" s="17">
        <v>6</v>
      </c>
      <c r="L15" s="17">
        <v>15.92</v>
      </c>
      <c r="M15" s="17">
        <v>0</v>
      </c>
    </row>
    <row r="16" s="17" customFormat="1" spans="1:13">
      <c r="A16" s="17" t="s">
        <v>228</v>
      </c>
      <c r="B16" s="17" t="s">
        <v>37</v>
      </c>
      <c r="C16" s="17" t="s">
        <v>38</v>
      </c>
      <c r="D16" s="17">
        <v>96.15</v>
      </c>
      <c r="E16" s="17">
        <v>1155</v>
      </c>
      <c r="F16" s="17">
        <v>9</v>
      </c>
      <c r="G16" s="17">
        <v>0</v>
      </c>
      <c r="H16" s="17">
        <v>0</v>
      </c>
      <c r="I16" s="17">
        <v>3</v>
      </c>
      <c r="J16" s="17">
        <v>32.05</v>
      </c>
      <c r="K16" s="17">
        <v>3</v>
      </c>
      <c r="L16" s="17">
        <v>32.05</v>
      </c>
      <c r="M16" s="17">
        <v>0</v>
      </c>
    </row>
    <row r="17" s="17" customFormat="1" spans="1:13">
      <c r="A17" s="17" t="s">
        <v>229</v>
      </c>
      <c r="B17" s="17" t="s">
        <v>37</v>
      </c>
      <c r="C17" s="17" t="s">
        <v>38</v>
      </c>
      <c r="D17" s="17">
        <v>88.53</v>
      </c>
      <c r="E17" s="17">
        <v>964</v>
      </c>
      <c r="F17" s="17">
        <v>9</v>
      </c>
      <c r="G17" s="17">
        <v>0</v>
      </c>
      <c r="H17" s="17">
        <v>0</v>
      </c>
      <c r="I17" s="17">
        <v>2</v>
      </c>
      <c r="J17" s="17">
        <v>44.27</v>
      </c>
      <c r="K17" s="17">
        <v>2</v>
      </c>
      <c r="L17" s="17">
        <v>44.27</v>
      </c>
      <c r="M17" s="17">
        <v>0</v>
      </c>
    </row>
    <row r="18" s="17" customFormat="1" spans="1:13">
      <c r="A18" s="17" t="s">
        <v>230</v>
      </c>
      <c r="B18" s="17" t="s">
        <v>37</v>
      </c>
      <c r="C18" s="17" t="s">
        <v>38</v>
      </c>
      <c r="D18" s="17">
        <v>79.44</v>
      </c>
      <c r="E18" s="17">
        <v>921</v>
      </c>
      <c r="F18" s="17">
        <v>8</v>
      </c>
      <c r="G18" s="17">
        <v>1</v>
      </c>
      <c r="H18" s="17">
        <v>79.44</v>
      </c>
      <c r="I18" s="17">
        <v>2</v>
      </c>
      <c r="J18" s="17">
        <v>39.72</v>
      </c>
      <c r="K18" s="17">
        <v>3</v>
      </c>
      <c r="L18" s="17">
        <v>26.48</v>
      </c>
      <c r="M18" s="17">
        <v>12</v>
      </c>
    </row>
    <row r="19" s="17" customFormat="1" spans="1:13">
      <c r="A19" s="17" t="s">
        <v>231</v>
      </c>
      <c r="B19" s="17" t="s">
        <v>37</v>
      </c>
      <c r="C19" s="17" t="s">
        <v>38</v>
      </c>
      <c r="D19" s="17">
        <v>79.25</v>
      </c>
      <c r="E19" s="17">
        <v>859</v>
      </c>
      <c r="F19" s="17">
        <v>10</v>
      </c>
      <c r="G19" s="17">
        <v>0</v>
      </c>
      <c r="H19" s="17">
        <v>0</v>
      </c>
      <c r="I19" s="17">
        <v>4</v>
      </c>
      <c r="J19" s="17">
        <v>19.81</v>
      </c>
      <c r="K19" s="17">
        <v>3</v>
      </c>
      <c r="L19" s="17">
        <v>26.42</v>
      </c>
      <c r="M19" s="17">
        <v>0</v>
      </c>
    </row>
    <row r="20" s="17" customFormat="1" spans="1:13">
      <c r="A20" s="17" t="s">
        <v>232</v>
      </c>
      <c r="B20" s="17" t="s">
        <v>37</v>
      </c>
      <c r="C20" s="17" t="s">
        <v>38</v>
      </c>
      <c r="D20" s="17">
        <v>66.04</v>
      </c>
      <c r="E20" s="17">
        <v>827</v>
      </c>
      <c r="F20" s="17">
        <v>14</v>
      </c>
      <c r="G20" s="17">
        <v>0</v>
      </c>
      <c r="H20" s="17">
        <v>0</v>
      </c>
      <c r="I20" s="17">
        <v>6</v>
      </c>
      <c r="J20" s="17">
        <v>11.01</v>
      </c>
      <c r="K20" s="17">
        <v>6</v>
      </c>
      <c r="L20" s="17">
        <v>11.01</v>
      </c>
      <c r="M20" s="17">
        <v>0</v>
      </c>
    </row>
    <row r="21" s="17" customFormat="1" spans="1:13">
      <c r="A21" s="17" t="s">
        <v>233</v>
      </c>
      <c r="B21" s="17" t="s">
        <v>37</v>
      </c>
      <c r="C21" s="17" t="s">
        <v>38</v>
      </c>
      <c r="D21" s="17">
        <v>68.48</v>
      </c>
      <c r="E21" s="17">
        <v>778</v>
      </c>
      <c r="F21" s="17">
        <v>10</v>
      </c>
      <c r="G21" s="17">
        <v>0</v>
      </c>
      <c r="H21" s="17">
        <v>0</v>
      </c>
      <c r="I21" s="17">
        <v>1</v>
      </c>
      <c r="J21" s="17">
        <v>68.48</v>
      </c>
      <c r="K21" s="17">
        <v>1</v>
      </c>
      <c r="L21" s="17">
        <v>68.48</v>
      </c>
      <c r="M21" s="17">
        <v>0</v>
      </c>
    </row>
    <row r="22" s="17" customFormat="1" spans="1:13">
      <c r="A22" s="17" t="s">
        <v>234</v>
      </c>
      <c r="B22" s="17" t="s">
        <v>37</v>
      </c>
      <c r="C22" s="17" t="s">
        <v>38</v>
      </c>
      <c r="D22" s="17">
        <v>65.04</v>
      </c>
      <c r="E22" s="17">
        <v>755</v>
      </c>
      <c r="F22" s="17">
        <v>7</v>
      </c>
      <c r="G22" s="17">
        <v>0</v>
      </c>
      <c r="H22" s="17">
        <v>0</v>
      </c>
      <c r="I22" s="17">
        <v>2</v>
      </c>
      <c r="J22" s="17">
        <v>32.52</v>
      </c>
      <c r="K22" s="17">
        <v>3</v>
      </c>
      <c r="L22" s="17">
        <v>21.68</v>
      </c>
      <c r="M22" s="17">
        <v>0</v>
      </c>
    </row>
    <row r="23" s="17" customFormat="1" spans="1:13">
      <c r="A23" s="17" t="s">
        <v>235</v>
      </c>
      <c r="B23" s="17" t="s">
        <v>37</v>
      </c>
      <c r="C23" s="17" t="s">
        <v>38</v>
      </c>
      <c r="D23" s="17">
        <v>63.3</v>
      </c>
      <c r="E23" s="17">
        <v>808</v>
      </c>
      <c r="F23" s="17">
        <v>8</v>
      </c>
      <c r="G23" s="17">
        <v>0</v>
      </c>
      <c r="H23" s="17">
        <v>0</v>
      </c>
      <c r="I23" s="17">
        <v>2</v>
      </c>
      <c r="J23" s="17">
        <v>31.65</v>
      </c>
      <c r="K23" s="17">
        <v>2</v>
      </c>
      <c r="L23" s="17">
        <v>31.65</v>
      </c>
      <c r="M23" s="17">
        <v>0</v>
      </c>
    </row>
    <row r="24" s="17" customFormat="1" spans="1:13">
      <c r="A24" s="17" t="s">
        <v>236</v>
      </c>
      <c r="B24" s="17" t="s">
        <v>37</v>
      </c>
      <c r="C24" s="17" t="s">
        <v>38</v>
      </c>
      <c r="D24" s="17">
        <v>46.41</v>
      </c>
      <c r="E24" s="17">
        <v>678</v>
      </c>
      <c r="F24" s="17">
        <v>6</v>
      </c>
      <c r="G24" s="17">
        <v>0</v>
      </c>
      <c r="H24" s="17">
        <v>0</v>
      </c>
      <c r="I24" s="17">
        <v>1</v>
      </c>
      <c r="J24" s="17">
        <v>46.41</v>
      </c>
      <c r="K24" s="17">
        <v>1</v>
      </c>
      <c r="L24" s="17">
        <v>46.41</v>
      </c>
      <c r="M24" s="17">
        <v>0</v>
      </c>
    </row>
    <row r="25" s="17" customFormat="1" spans="1:13">
      <c r="A25" s="17" t="s">
        <v>237</v>
      </c>
      <c r="B25" s="17" t="s">
        <v>37</v>
      </c>
      <c r="C25" s="17" t="s">
        <v>38</v>
      </c>
      <c r="D25" s="17">
        <v>25.16</v>
      </c>
      <c r="E25" s="17">
        <v>362</v>
      </c>
      <c r="F25" s="17">
        <v>2</v>
      </c>
      <c r="G25" s="17">
        <v>0</v>
      </c>
      <c r="H25" s="17">
        <v>0</v>
      </c>
      <c r="I25" s="17">
        <v>3</v>
      </c>
      <c r="J25" s="17">
        <v>8.39</v>
      </c>
      <c r="K25" s="17">
        <v>3</v>
      </c>
      <c r="L25" s="17">
        <v>8.39</v>
      </c>
      <c r="M25" s="17">
        <v>0</v>
      </c>
    </row>
    <row r="26" s="17" customFormat="1" spans="1:13">
      <c r="A26" s="17" t="s">
        <v>238</v>
      </c>
      <c r="B26" s="17" t="s">
        <v>37</v>
      </c>
      <c r="C26" s="17" t="s">
        <v>38</v>
      </c>
      <c r="D26" s="17">
        <v>107.74</v>
      </c>
      <c r="E26" s="17">
        <v>1388</v>
      </c>
      <c r="F26" s="17">
        <v>8</v>
      </c>
      <c r="G26" s="17">
        <v>1</v>
      </c>
      <c r="H26" s="17">
        <v>107.74</v>
      </c>
      <c r="I26" s="17">
        <v>4</v>
      </c>
      <c r="J26" s="17">
        <v>26.94</v>
      </c>
      <c r="K26" s="17">
        <v>4</v>
      </c>
      <c r="L26" s="17">
        <v>26.94</v>
      </c>
      <c r="M26" s="17">
        <v>30</v>
      </c>
    </row>
    <row r="27" s="17" customFormat="1" spans="1:13">
      <c r="A27" s="17" t="s">
        <v>239</v>
      </c>
      <c r="B27" s="17" t="s">
        <v>37</v>
      </c>
      <c r="C27" s="17" t="s">
        <v>38</v>
      </c>
      <c r="D27" s="17">
        <v>88.03</v>
      </c>
      <c r="E27" s="17">
        <v>989</v>
      </c>
      <c r="F27" s="17">
        <v>7</v>
      </c>
      <c r="G27" s="17">
        <v>0</v>
      </c>
      <c r="H27" s="17">
        <v>0</v>
      </c>
      <c r="I27" s="17">
        <v>1</v>
      </c>
      <c r="J27" s="17">
        <v>88.03</v>
      </c>
      <c r="K27" s="17">
        <v>1</v>
      </c>
      <c r="L27" s="17">
        <v>88.03</v>
      </c>
      <c r="M27" s="17">
        <v>12</v>
      </c>
    </row>
    <row r="28" s="17" customFormat="1" spans="1:13">
      <c r="A28" s="17" t="s">
        <v>240</v>
      </c>
      <c r="B28" s="17" t="s">
        <v>37</v>
      </c>
      <c r="C28" s="17" t="s">
        <v>38</v>
      </c>
      <c r="D28" s="17">
        <v>51.62</v>
      </c>
      <c r="E28" s="17">
        <v>626</v>
      </c>
      <c r="F28" s="17">
        <v>4</v>
      </c>
      <c r="G28" s="17">
        <v>0</v>
      </c>
      <c r="H28" s="17">
        <v>0</v>
      </c>
      <c r="I28" s="17">
        <v>2</v>
      </c>
      <c r="J28" s="17">
        <v>25.81</v>
      </c>
      <c r="K28" s="17">
        <v>3</v>
      </c>
      <c r="L28" s="17">
        <v>17.21</v>
      </c>
      <c r="M28" s="17">
        <v>0</v>
      </c>
    </row>
    <row r="29" s="17" customFormat="1" spans="1:13">
      <c r="A29" s="17" t="s">
        <v>241</v>
      </c>
      <c r="B29" s="17" t="s">
        <v>37</v>
      </c>
      <c r="C29" s="17" t="s">
        <v>38</v>
      </c>
      <c r="D29" s="17">
        <v>31.51</v>
      </c>
      <c r="E29" s="17">
        <v>445</v>
      </c>
      <c r="F29" s="17">
        <v>4</v>
      </c>
      <c r="G29" s="17">
        <v>0</v>
      </c>
      <c r="H29" s="17">
        <v>0</v>
      </c>
      <c r="I29" s="17">
        <v>1</v>
      </c>
      <c r="J29" s="17">
        <v>31.51</v>
      </c>
      <c r="K29" s="17">
        <v>1</v>
      </c>
      <c r="L29" s="17">
        <v>31.51</v>
      </c>
      <c r="M29" s="17">
        <v>0</v>
      </c>
    </row>
    <row r="30" s="17" customFormat="1" spans="1:13">
      <c r="A30" s="17" t="s">
        <v>242</v>
      </c>
      <c r="B30" s="17" t="s">
        <v>37</v>
      </c>
      <c r="C30" s="17" t="s">
        <v>38</v>
      </c>
      <c r="D30" s="17">
        <v>27.29</v>
      </c>
      <c r="E30" s="17">
        <v>344</v>
      </c>
      <c r="F30" s="17">
        <v>4</v>
      </c>
      <c r="G30" s="17">
        <v>0</v>
      </c>
      <c r="H30" s="17">
        <v>0</v>
      </c>
      <c r="I30" s="17">
        <v>3</v>
      </c>
      <c r="J30" s="17">
        <v>9.1</v>
      </c>
      <c r="K30" s="17">
        <v>3</v>
      </c>
      <c r="L30" s="17">
        <v>9.1</v>
      </c>
      <c r="M30" s="17">
        <v>0</v>
      </c>
    </row>
    <row r="31" s="17" customFormat="1" spans="1:13">
      <c r="A31" s="17" t="s">
        <v>243</v>
      </c>
      <c r="B31" s="17" t="s">
        <v>37</v>
      </c>
      <c r="C31" s="17" t="s">
        <v>38</v>
      </c>
      <c r="D31" s="17">
        <v>30.15</v>
      </c>
      <c r="E31" s="17">
        <v>366</v>
      </c>
      <c r="F31" s="17">
        <v>2</v>
      </c>
      <c r="G31" s="17">
        <v>0</v>
      </c>
      <c r="H31" s="17">
        <v>0</v>
      </c>
      <c r="I31" s="17">
        <v>1</v>
      </c>
      <c r="J31" s="17">
        <v>30.15</v>
      </c>
      <c r="K31" s="17">
        <v>2</v>
      </c>
      <c r="L31" s="17">
        <v>15.08</v>
      </c>
      <c r="M31" s="17">
        <v>0</v>
      </c>
    </row>
    <row r="32" s="17" customFormat="1" spans="1:13">
      <c r="A32" s="17" t="s">
        <v>244</v>
      </c>
      <c r="B32" s="17" t="s">
        <v>37</v>
      </c>
      <c r="C32" s="17" t="s">
        <v>38</v>
      </c>
      <c r="D32" s="17">
        <v>33.18</v>
      </c>
      <c r="E32" s="17">
        <v>487</v>
      </c>
      <c r="F32" s="17">
        <v>3</v>
      </c>
      <c r="G32" s="17">
        <v>0</v>
      </c>
      <c r="H32" s="17">
        <v>0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</row>
    <row r="33" s="17" customFormat="1" spans="1:13">
      <c r="A33" s="17" t="s">
        <v>245</v>
      </c>
      <c r="B33" s="17" t="s">
        <v>37</v>
      </c>
      <c r="C33" s="17" t="s">
        <v>38</v>
      </c>
      <c r="D33" s="17">
        <v>35.73</v>
      </c>
      <c r="E33" s="17">
        <v>452</v>
      </c>
      <c r="F33" s="17">
        <v>7</v>
      </c>
      <c r="G33" s="17">
        <v>0</v>
      </c>
      <c r="H33" s="17">
        <v>0</v>
      </c>
      <c r="I33" s="17">
        <v>2</v>
      </c>
      <c r="J33" s="17">
        <v>17.87</v>
      </c>
      <c r="K33" s="17">
        <v>2</v>
      </c>
      <c r="L33" s="17">
        <v>17.87</v>
      </c>
      <c r="M33" s="17">
        <v>0</v>
      </c>
    </row>
    <row r="34" s="17" customFormat="1" spans="1:13">
      <c r="A34" s="17" t="s">
        <v>246</v>
      </c>
      <c r="B34" s="17" t="s">
        <v>37</v>
      </c>
      <c r="C34" s="17" t="s">
        <v>38</v>
      </c>
      <c r="D34" s="17">
        <v>33.74</v>
      </c>
      <c r="E34" s="17">
        <v>409</v>
      </c>
      <c r="F34" s="17">
        <v>1</v>
      </c>
      <c r="G34" s="17">
        <v>1</v>
      </c>
      <c r="H34" s="17">
        <v>33.74</v>
      </c>
      <c r="I34" s="17">
        <v>0</v>
      </c>
      <c r="J34" s="17">
        <v>0</v>
      </c>
      <c r="K34" s="17">
        <v>0</v>
      </c>
      <c r="L34" s="17">
        <v>0</v>
      </c>
      <c r="M34" s="17">
        <v>69.8</v>
      </c>
    </row>
    <row r="35" s="17" customFormat="1" spans="1:13">
      <c r="A35" s="17" t="s">
        <v>247</v>
      </c>
      <c r="B35" s="17" t="s">
        <v>37</v>
      </c>
      <c r="C35" s="17" t="s">
        <v>38</v>
      </c>
      <c r="D35" s="17">
        <v>47.15</v>
      </c>
      <c r="E35" s="17">
        <v>499</v>
      </c>
      <c r="F35" s="17">
        <v>6</v>
      </c>
      <c r="G35" s="17">
        <v>0</v>
      </c>
      <c r="H35" s="17">
        <v>0</v>
      </c>
      <c r="I35" s="17">
        <v>0</v>
      </c>
      <c r="J35" s="17">
        <v>0</v>
      </c>
      <c r="K35" s="17">
        <v>0</v>
      </c>
      <c r="L35" s="17">
        <v>0</v>
      </c>
      <c r="M35" s="17">
        <v>0</v>
      </c>
    </row>
    <row r="36" s="17" customFormat="1" spans="1:13">
      <c r="A36" s="17" t="s">
        <v>248</v>
      </c>
      <c r="B36" s="17" t="s">
        <v>37</v>
      </c>
      <c r="C36" s="17" t="s">
        <v>38</v>
      </c>
      <c r="D36" s="17">
        <v>47.25</v>
      </c>
      <c r="E36" s="17">
        <v>498</v>
      </c>
      <c r="F36" s="17">
        <v>2</v>
      </c>
      <c r="G36" s="17">
        <v>1</v>
      </c>
      <c r="H36" s="17">
        <v>47.25</v>
      </c>
      <c r="I36" s="17">
        <v>1</v>
      </c>
      <c r="J36" s="17">
        <v>47.25</v>
      </c>
      <c r="K36" s="17">
        <v>1</v>
      </c>
      <c r="L36" s="17">
        <v>47.25</v>
      </c>
      <c r="M36" s="17">
        <v>12</v>
      </c>
    </row>
    <row r="37" s="17" customFormat="1" spans="1:13">
      <c r="A37" s="17" t="s">
        <v>249</v>
      </c>
      <c r="B37" s="17" t="s">
        <v>37</v>
      </c>
      <c r="C37" s="17" t="s">
        <v>38</v>
      </c>
      <c r="D37" s="17">
        <v>66.07</v>
      </c>
      <c r="E37" s="17">
        <v>578</v>
      </c>
      <c r="F37" s="17">
        <v>5</v>
      </c>
      <c r="G37" s="17">
        <v>0</v>
      </c>
      <c r="H37" s="17">
        <v>0</v>
      </c>
      <c r="I37" s="17">
        <v>3</v>
      </c>
      <c r="J37" s="17">
        <v>22.02</v>
      </c>
      <c r="K37" s="17">
        <v>3</v>
      </c>
      <c r="L37" s="17">
        <v>22.02</v>
      </c>
      <c r="M37" s="17">
        <v>0</v>
      </c>
    </row>
    <row r="38" s="17" customFormat="1" spans="1:13">
      <c r="A38" s="17" t="s">
        <v>250</v>
      </c>
      <c r="B38" s="17" t="s">
        <v>37</v>
      </c>
      <c r="C38" s="17" t="s">
        <v>38</v>
      </c>
      <c r="D38" s="17">
        <v>149.07</v>
      </c>
      <c r="E38" s="17">
        <v>1351</v>
      </c>
      <c r="F38" s="17">
        <v>9</v>
      </c>
      <c r="G38" s="17">
        <v>0</v>
      </c>
      <c r="H38" s="17">
        <v>0</v>
      </c>
      <c r="I38" s="17">
        <v>3</v>
      </c>
      <c r="J38" s="17">
        <v>49.69</v>
      </c>
      <c r="K38" s="17">
        <v>3</v>
      </c>
      <c r="L38" s="17">
        <v>49.69</v>
      </c>
      <c r="M38" s="17">
        <v>0</v>
      </c>
    </row>
    <row r="39" s="17" customFormat="1" spans="1:13">
      <c r="A39" s="17" t="s">
        <v>251</v>
      </c>
      <c r="B39" s="17" t="s">
        <v>37</v>
      </c>
      <c r="C39" s="17" t="s">
        <v>38</v>
      </c>
      <c r="D39" s="17">
        <v>148.63</v>
      </c>
      <c r="E39" s="17">
        <v>1469</v>
      </c>
      <c r="F39" s="17">
        <v>15</v>
      </c>
      <c r="G39" s="17">
        <v>0</v>
      </c>
      <c r="H39" s="17">
        <v>0</v>
      </c>
      <c r="I39" s="17">
        <v>3</v>
      </c>
      <c r="J39" s="17">
        <v>49.54</v>
      </c>
      <c r="K39" s="17">
        <v>5</v>
      </c>
      <c r="L39" s="17">
        <v>29.73</v>
      </c>
      <c r="M39" s="17">
        <v>0</v>
      </c>
    </row>
    <row r="40" s="17" customFormat="1" spans="1:13">
      <c r="A40" s="17" t="s">
        <v>252</v>
      </c>
      <c r="B40" s="17" t="s">
        <v>37</v>
      </c>
      <c r="C40" s="17" t="s">
        <v>38</v>
      </c>
      <c r="D40" s="17">
        <v>113.06</v>
      </c>
      <c r="E40" s="17">
        <v>1242</v>
      </c>
      <c r="F40" s="17">
        <v>14</v>
      </c>
      <c r="G40" s="17">
        <v>0</v>
      </c>
      <c r="H40" s="17">
        <v>0</v>
      </c>
      <c r="I40" s="17">
        <v>5</v>
      </c>
      <c r="J40" s="17">
        <v>22.61</v>
      </c>
      <c r="K40" s="17">
        <v>4</v>
      </c>
      <c r="L40" s="17">
        <v>28.27</v>
      </c>
      <c r="M40" s="17">
        <v>0</v>
      </c>
    </row>
    <row r="41" s="17" customFormat="1" spans="1:13">
      <c r="A41" s="17" t="s">
        <v>253</v>
      </c>
      <c r="B41" s="17" t="s">
        <v>37</v>
      </c>
      <c r="C41" s="17" t="s">
        <v>38</v>
      </c>
      <c r="D41" s="17">
        <v>104.4</v>
      </c>
      <c r="E41" s="17">
        <v>1094</v>
      </c>
      <c r="F41" s="17">
        <v>9</v>
      </c>
      <c r="G41" s="17">
        <v>0</v>
      </c>
      <c r="H41" s="17">
        <v>0</v>
      </c>
      <c r="I41" s="17">
        <v>2</v>
      </c>
      <c r="J41" s="17">
        <v>52.2</v>
      </c>
      <c r="K41" s="17">
        <v>2</v>
      </c>
      <c r="L41" s="17">
        <v>52.2</v>
      </c>
      <c r="M41" s="17">
        <v>0</v>
      </c>
    </row>
    <row r="42" s="17" customFormat="1" spans="1:13">
      <c r="A42" s="17" t="s">
        <v>254</v>
      </c>
      <c r="B42" s="17" t="s">
        <v>37</v>
      </c>
      <c r="C42" s="17" t="s">
        <v>38</v>
      </c>
      <c r="D42" s="17">
        <v>74.68</v>
      </c>
      <c r="E42" s="17">
        <v>694</v>
      </c>
      <c r="F42" s="17">
        <v>11</v>
      </c>
      <c r="G42" s="17">
        <v>0</v>
      </c>
      <c r="H42" s="17">
        <v>0</v>
      </c>
      <c r="I42" s="17">
        <v>5</v>
      </c>
      <c r="J42" s="17">
        <v>14.94</v>
      </c>
      <c r="K42" s="17">
        <v>5</v>
      </c>
      <c r="L42" s="17">
        <v>14.94</v>
      </c>
      <c r="M42" s="17">
        <v>0</v>
      </c>
    </row>
    <row r="43" s="17" customFormat="1" spans="1:13">
      <c r="A43" s="17" t="s">
        <v>255</v>
      </c>
      <c r="B43" s="17" t="s">
        <v>37</v>
      </c>
      <c r="C43" s="17" t="s">
        <v>38</v>
      </c>
      <c r="D43" s="17">
        <v>93.55</v>
      </c>
      <c r="E43" s="17">
        <v>930</v>
      </c>
      <c r="F43" s="17">
        <v>12</v>
      </c>
      <c r="G43" s="17">
        <v>0</v>
      </c>
      <c r="H43" s="17">
        <v>0</v>
      </c>
      <c r="I43" s="17">
        <v>3</v>
      </c>
      <c r="J43" s="17">
        <v>31.18</v>
      </c>
      <c r="K43" s="17">
        <v>5</v>
      </c>
      <c r="L43" s="17">
        <v>18.71</v>
      </c>
      <c r="M43" s="17">
        <v>0</v>
      </c>
    </row>
    <row r="44" s="17" customFormat="1" spans="1:13">
      <c r="A44" s="17" t="s">
        <v>256</v>
      </c>
      <c r="B44" s="17" t="s">
        <v>37</v>
      </c>
      <c r="C44" s="17" t="s">
        <v>38</v>
      </c>
      <c r="D44" s="17">
        <v>78.36</v>
      </c>
      <c r="E44" s="17">
        <v>933</v>
      </c>
      <c r="F44" s="17">
        <v>5</v>
      </c>
      <c r="G44" s="17">
        <v>0</v>
      </c>
      <c r="H44" s="17">
        <v>0</v>
      </c>
      <c r="I44" s="17">
        <v>2</v>
      </c>
      <c r="J44" s="17">
        <v>39.18</v>
      </c>
      <c r="K44" s="17">
        <v>1</v>
      </c>
      <c r="L44" s="17">
        <v>78.36</v>
      </c>
      <c r="M44" s="17">
        <v>0</v>
      </c>
    </row>
    <row r="45" s="17" customFormat="1" spans="1:13">
      <c r="A45" s="17" t="s">
        <v>257</v>
      </c>
      <c r="B45" s="17" t="s">
        <v>37</v>
      </c>
      <c r="C45" s="17" t="s">
        <v>38</v>
      </c>
      <c r="D45" s="17">
        <v>85.03</v>
      </c>
      <c r="E45" s="17">
        <v>921</v>
      </c>
      <c r="F45" s="17">
        <v>9</v>
      </c>
      <c r="G45" s="17">
        <v>0</v>
      </c>
      <c r="H45" s="17">
        <v>0</v>
      </c>
      <c r="I45" s="17">
        <v>5</v>
      </c>
      <c r="J45" s="17">
        <v>17.01</v>
      </c>
      <c r="K45" s="17">
        <v>5</v>
      </c>
      <c r="L45" s="17">
        <v>17.01</v>
      </c>
      <c r="M45" s="17">
        <v>0</v>
      </c>
    </row>
    <row r="46" s="17" customFormat="1" spans="1:13">
      <c r="A46" s="17" t="s">
        <v>258</v>
      </c>
      <c r="B46" s="17" t="s">
        <v>37</v>
      </c>
      <c r="C46" s="17" t="s">
        <v>38</v>
      </c>
      <c r="D46" s="17">
        <v>77.23</v>
      </c>
      <c r="E46" s="17">
        <v>933</v>
      </c>
      <c r="F46" s="17">
        <v>19</v>
      </c>
      <c r="G46" s="17">
        <v>0</v>
      </c>
      <c r="H46" s="17">
        <v>0</v>
      </c>
      <c r="I46" s="17">
        <v>5</v>
      </c>
      <c r="J46" s="17">
        <v>15.45</v>
      </c>
      <c r="K46" s="17">
        <v>5</v>
      </c>
      <c r="L46" s="17">
        <v>15.45</v>
      </c>
      <c r="M46" s="17">
        <v>0</v>
      </c>
    </row>
    <row r="47" s="17" customFormat="1" spans="1:13">
      <c r="A47" s="17" t="s">
        <v>259</v>
      </c>
      <c r="B47" s="17" t="s">
        <v>37</v>
      </c>
      <c r="C47" s="17" t="s">
        <v>38</v>
      </c>
      <c r="D47" s="17">
        <v>8.64</v>
      </c>
      <c r="E47" s="17">
        <v>249</v>
      </c>
      <c r="F47" s="17">
        <v>2</v>
      </c>
      <c r="G47" s="17">
        <v>0</v>
      </c>
      <c r="H47" s="17">
        <v>0</v>
      </c>
      <c r="I47" s="17">
        <v>1</v>
      </c>
      <c r="J47" s="17">
        <v>8.64</v>
      </c>
      <c r="K47" s="17">
        <v>2</v>
      </c>
      <c r="L47" s="17">
        <v>4.32</v>
      </c>
      <c r="M47" s="17">
        <v>0</v>
      </c>
    </row>
    <row r="48" s="17" customFormat="1" spans="1:13">
      <c r="A48" s="17" t="s">
        <v>260</v>
      </c>
      <c r="B48" s="17" t="s">
        <v>37</v>
      </c>
      <c r="C48" s="17" t="s">
        <v>38</v>
      </c>
      <c r="D48" s="17">
        <v>0</v>
      </c>
      <c r="E48" s="17">
        <v>23</v>
      </c>
      <c r="F48" s="17">
        <v>1</v>
      </c>
      <c r="G48" s="17">
        <v>0</v>
      </c>
      <c r="H48" s="17">
        <v>0</v>
      </c>
      <c r="I48" s="17">
        <v>1</v>
      </c>
      <c r="J48" s="17">
        <v>0</v>
      </c>
      <c r="K48" s="17">
        <v>1</v>
      </c>
      <c r="L48" s="17">
        <v>0</v>
      </c>
      <c r="M48" s="17">
        <v>0</v>
      </c>
    </row>
    <row r="49" s="17" customFormat="1" spans="1:13">
      <c r="A49" s="17" t="s">
        <v>261</v>
      </c>
      <c r="B49" s="17" t="s">
        <v>37</v>
      </c>
      <c r="C49" s="17" t="s">
        <v>38</v>
      </c>
      <c r="D49" s="17">
        <v>0</v>
      </c>
      <c r="E49" s="17">
        <v>11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</row>
    <row r="50" s="17" customFormat="1" spans="1:13">
      <c r="A50" s="17" t="s">
        <v>262</v>
      </c>
      <c r="B50" s="17" t="s">
        <v>37</v>
      </c>
      <c r="C50" s="17" t="s">
        <v>38</v>
      </c>
      <c r="D50" s="17">
        <v>115.27</v>
      </c>
      <c r="E50" s="17">
        <v>1108</v>
      </c>
      <c r="F50" s="17">
        <v>7</v>
      </c>
      <c r="G50" s="17">
        <v>1</v>
      </c>
      <c r="H50" s="17">
        <v>115.27</v>
      </c>
      <c r="I50" s="17">
        <v>4</v>
      </c>
      <c r="J50" s="17">
        <v>28.82</v>
      </c>
      <c r="K50" s="17">
        <v>4</v>
      </c>
      <c r="L50" s="17">
        <v>28.82</v>
      </c>
      <c r="M50" s="17">
        <v>30</v>
      </c>
    </row>
    <row r="51" s="17" customFormat="1" spans="1:13">
      <c r="A51" s="17" t="s">
        <v>263</v>
      </c>
      <c r="B51" s="17" t="s">
        <v>37</v>
      </c>
      <c r="C51" s="17" t="s">
        <v>38</v>
      </c>
      <c r="D51" s="17">
        <v>77.68</v>
      </c>
      <c r="E51" s="17">
        <v>587</v>
      </c>
      <c r="F51" s="17">
        <v>8</v>
      </c>
      <c r="G51" s="17">
        <v>0</v>
      </c>
      <c r="H51" s="17">
        <v>0</v>
      </c>
      <c r="I51" s="17">
        <v>5</v>
      </c>
      <c r="J51" s="17">
        <v>15.54</v>
      </c>
      <c r="K51" s="17">
        <v>5</v>
      </c>
      <c r="L51" s="17">
        <v>15.54</v>
      </c>
      <c r="M51" s="17">
        <v>0</v>
      </c>
    </row>
    <row r="52" s="17" customFormat="1" spans="1:13">
      <c r="A52" s="17" t="s">
        <v>264</v>
      </c>
      <c r="B52" s="17" t="s">
        <v>37</v>
      </c>
      <c r="C52" s="17" t="s">
        <v>38</v>
      </c>
      <c r="D52" s="17">
        <v>35.05</v>
      </c>
      <c r="E52" s="17">
        <v>305</v>
      </c>
      <c r="F52" s="17">
        <v>0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</row>
    <row r="53" s="17" customFormat="1" spans="1:13">
      <c r="A53" s="17" t="s">
        <v>265</v>
      </c>
      <c r="B53" s="17" t="s">
        <v>37</v>
      </c>
      <c r="C53" s="17" t="s">
        <v>38</v>
      </c>
      <c r="D53" s="17">
        <v>24.79</v>
      </c>
      <c r="E53" s="17">
        <v>276</v>
      </c>
      <c r="F53" s="17">
        <v>1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</row>
    <row r="54" s="17" customFormat="1" spans="1:13">
      <c r="A54" s="17" t="s">
        <v>266</v>
      </c>
      <c r="B54" s="17" t="s">
        <v>37</v>
      </c>
      <c r="C54" s="17" t="s">
        <v>38</v>
      </c>
      <c r="D54" s="17">
        <v>21.93</v>
      </c>
      <c r="E54" s="17">
        <v>183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</row>
    <row r="55" s="17" customFormat="1" spans="1:13">
      <c r="A55" s="17" t="s">
        <v>267</v>
      </c>
      <c r="B55" s="17" t="s">
        <v>37</v>
      </c>
      <c r="C55" s="17" t="s">
        <v>38</v>
      </c>
      <c r="D55" s="17">
        <v>22.28</v>
      </c>
      <c r="E55" s="17">
        <v>210</v>
      </c>
      <c r="F55" s="17">
        <v>1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</row>
    <row r="56" s="17" customFormat="1" spans="1:13">
      <c r="A56" s="17" t="s">
        <v>268</v>
      </c>
      <c r="B56" s="17" t="s">
        <v>37</v>
      </c>
      <c r="C56" s="17" t="s">
        <v>38</v>
      </c>
      <c r="D56" s="17">
        <v>22.34</v>
      </c>
      <c r="E56" s="17">
        <v>240</v>
      </c>
      <c r="F56" s="17">
        <v>3</v>
      </c>
      <c r="G56" s="17">
        <v>0</v>
      </c>
      <c r="H56" s="17">
        <v>0</v>
      </c>
      <c r="I56" s="17">
        <v>2</v>
      </c>
      <c r="J56" s="17">
        <v>11.17</v>
      </c>
      <c r="K56" s="17">
        <v>2</v>
      </c>
      <c r="L56" s="17">
        <v>11.17</v>
      </c>
      <c r="M56" s="17">
        <v>0</v>
      </c>
    </row>
    <row r="57" s="17" customFormat="1" spans="1:13">
      <c r="A57" s="17" t="s">
        <v>269</v>
      </c>
      <c r="B57" s="17" t="s">
        <v>37</v>
      </c>
      <c r="C57" s="17" t="s">
        <v>38</v>
      </c>
      <c r="D57" s="17">
        <v>36.4</v>
      </c>
      <c r="E57" s="17">
        <v>331</v>
      </c>
      <c r="F57" s="17">
        <v>4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</row>
    <row r="58" s="17" customFormat="1" spans="1:13">
      <c r="A58" s="17" t="s">
        <v>270</v>
      </c>
      <c r="B58" s="17" t="s">
        <v>37</v>
      </c>
      <c r="C58" s="17" t="s">
        <v>38</v>
      </c>
      <c r="D58" s="17">
        <v>46.75</v>
      </c>
      <c r="E58" s="17">
        <v>324</v>
      </c>
      <c r="F58" s="17">
        <v>8</v>
      </c>
      <c r="G58" s="17">
        <v>0</v>
      </c>
      <c r="H58" s="17">
        <v>0</v>
      </c>
      <c r="I58" s="17">
        <v>2</v>
      </c>
      <c r="J58" s="17">
        <v>23.38</v>
      </c>
      <c r="K58" s="17">
        <v>3</v>
      </c>
      <c r="L58" s="17">
        <v>15.58</v>
      </c>
      <c r="M58" s="17">
        <v>0</v>
      </c>
    </row>
    <row r="59" s="17" customFormat="1" spans="1:13">
      <c r="A59" s="17" t="s">
        <v>271</v>
      </c>
      <c r="B59" s="17" t="s">
        <v>37</v>
      </c>
      <c r="C59" s="17" t="s">
        <v>38</v>
      </c>
      <c r="D59" s="17">
        <v>58.94</v>
      </c>
      <c r="E59" s="17">
        <v>396</v>
      </c>
      <c r="F59" s="17">
        <v>4</v>
      </c>
      <c r="G59" s="17">
        <v>1</v>
      </c>
      <c r="H59" s="17">
        <v>58.94</v>
      </c>
      <c r="I59" s="17">
        <v>1</v>
      </c>
      <c r="J59" s="17">
        <v>58.94</v>
      </c>
      <c r="K59" s="17">
        <v>1</v>
      </c>
      <c r="L59" s="17">
        <v>58.94</v>
      </c>
      <c r="M59" s="17">
        <v>6</v>
      </c>
    </row>
    <row r="60" s="17" customFormat="1" spans="1:13">
      <c r="A60" s="17" t="s">
        <v>272</v>
      </c>
      <c r="B60" s="17" t="s">
        <v>37</v>
      </c>
      <c r="C60" s="17" t="s">
        <v>38</v>
      </c>
      <c r="D60" s="17">
        <v>73.03</v>
      </c>
      <c r="E60" s="17">
        <v>567</v>
      </c>
      <c r="F60" s="17">
        <v>9</v>
      </c>
      <c r="G60" s="17">
        <v>0</v>
      </c>
      <c r="H60" s="17">
        <v>0</v>
      </c>
      <c r="I60" s="17">
        <v>2</v>
      </c>
      <c r="J60" s="17">
        <v>36.52</v>
      </c>
      <c r="K60" s="17">
        <v>2</v>
      </c>
      <c r="L60" s="17">
        <v>36.52</v>
      </c>
      <c r="M60" s="17">
        <v>0</v>
      </c>
    </row>
    <row r="61" s="17" customFormat="1" spans="1:13">
      <c r="A61" s="17" t="s">
        <v>273</v>
      </c>
      <c r="B61" s="17" t="s">
        <v>37</v>
      </c>
      <c r="C61" s="17" t="s">
        <v>38</v>
      </c>
      <c r="D61" s="17">
        <v>80.44</v>
      </c>
      <c r="E61" s="17">
        <v>511</v>
      </c>
      <c r="F61" s="17">
        <v>6</v>
      </c>
      <c r="G61" s="17">
        <v>0</v>
      </c>
      <c r="H61" s="17">
        <v>0</v>
      </c>
      <c r="I61" s="17">
        <v>3</v>
      </c>
      <c r="J61" s="17">
        <v>26.81</v>
      </c>
      <c r="K61" s="17">
        <v>3</v>
      </c>
      <c r="L61" s="17">
        <v>26.81</v>
      </c>
      <c r="M61" s="17">
        <v>0</v>
      </c>
    </row>
    <row r="62" s="17" customFormat="1" spans="1:13">
      <c r="A62" s="17" t="s">
        <v>274</v>
      </c>
      <c r="B62" s="17" t="s">
        <v>37</v>
      </c>
      <c r="C62" s="17" t="s">
        <v>38</v>
      </c>
      <c r="D62" s="17">
        <v>85.59</v>
      </c>
      <c r="E62" s="17">
        <v>624</v>
      </c>
      <c r="F62" s="17">
        <v>7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</row>
    <row r="63" s="17" customFormat="1" spans="1:13">
      <c r="A63" s="17" t="s">
        <v>275</v>
      </c>
      <c r="B63" s="17" t="s">
        <v>37</v>
      </c>
      <c r="C63" s="17" t="s">
        <v>38</v>
      </c>
      <c r="D63" s="17">
        <v>73.48</v>
      </c>
      <c r="E63" s="17">
        <v>630</v>
      </c>
      <c r="F63" s="17">
        <v>4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</row>
    <row r="64" s="17" customFormat="1" spans="1:13">
      <c r="A64" s="17" t="s">
        <v>276</v>
      </c>
      <c r="B64" s="17" t="s">
        <v>37</v>
      </c>
      <c r="C64" s="17" t="s">
        <v>38</v>
      </c>
      <c r="D64" s="17">
        <v>57.48</v>
      </c>
      <c r="E64" s="17">
        <v>491</v>
      </c>
      <c r="F64" s="17">
        <v>4</v>
      </c>
      <c r="G64" s="17">
        <v>0</v>
      </c>
      <c r="H64" s="17">
        <v>0</v>
      </c>
      <c r="I64" s="17">
        <v>2</v>
      </c>
      <c r="J64" s="17">
        <v>28.74</v>
      </c>
      <c r="K64" s="17">
        <v>3</v>
      </c>
      <c r="L64" s="17">
        <v>19.16</v>
      </c>
      <c r="M64" s="17">
        <v>0</v>
      </c>
    </row>
    <row r="65" s="17" customFormat="1" spans="1:13">
      <c r="A65" s="17" t="s">
        <v>277</v>
      </c>
      <c r="B65" s="17" t="s">
        <v>37</v>
      </c>
      <c r="C65" s="17" t="s">
        <v>38</v>
      </c>
      <c r="D65" s="17">
        <v>54.23</v>
      </c>
      <c r="E65" s="17">
        <v>347</v>
      </c>
      <c r="F65" s="17">
        <v>2</v>
      </c>
      <c r="G65" s="17">
        <v>0</v>
      </c>
      <c r="H65" s="17">
        <v>0</v>
      </c>
      <c r="I65" s="17">
        <v>1</v>
      </c>
      <c r="J65" s="17">
        <v>54.23</v>
      </c>
      <c r="K65" s="17">
        <v>1</v>
      </c>
      <c r="L65" s="17">
        <v>54.23</v>
      </c>
      <c r="M65" s="17">
        <v>0</v>
      </c>
    </row>
    <row r="66" s="17" customFormat="1" spans="1:13">
      <c r="A66" s="17" t="s">
        <v>278</v>
      </c>
      <c r="B66" s="17" t="s">
        <v>37</v>
      </c>
      <c r="C66" s="17" t="s">
        <v>38</v>
      </c>
      <c r="D66" s="17">
        <v>21.46</v>
      </c>
      <c r="E66" s="17">
        <v>255</v>
      </c>
      <c r="F66" s="17">
        <v>1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</row>
    <row r="67" s="17" customFormat="1" spans="1:13">
      <c r="A67" s="17" t="s">
        <v>279</v>
      </c>
      <c r="B67" s="17" t="s">
        <v>37</v>
      </c>
      <c r="C67" s="17" t="s">
        <v>38</v>
      </c>
      <c r="D67" s="17">
        <v>12.26</v>
      </c>
      <c r="E67" s="17">
        <v>113</v>
      </c>
      <c r="F67" s="17">
        <v>2</v>
      </c>
      <c r="G67" s="17">
        <v>0</v>
      </c>
      <c r="H67" s="17">
        <v>0</v>
      </c>
      <c r="I67" s="17">
        <v>1</v>
      </c>
      <c r="J67" s="17">
        <v>12.26</v>
      </c>
      <c r="K67" s="17">
        <v>1</v>
      </c>
      <c r="L67" s="17">
        <v>12.26</v>
      </c>
      <c r="M67" s="17">
        <v>0</v>
      </c>
    </row>
    <row r="68" s="17" customFormat="1" spans="1:13">
      <c r="A68" s="17" t="s">
        <v>280</v>
      </c>
      <c r="B68" s="17" t="s">
        <v>37</v>
      </c>
      <c r="C68" s="17" t="s">
        <v>38</v>
      </c>
      <c r="D68" s="17">
        <v>0</v>
      </c>
      <c r="E68" s="17">
        <v>14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</row>
    <row r="69" s="17" customFormat="1" spans="1:13">
      <c r="A69" s="17" t="s">
        <v>281</v>
      </c>
      <c r="B69" s="17" t="s">
        <v>37</v>
      </c>
      <c r="C69" s="17" t="s">
        <v>38</v>
      </c>
      <c r="D69" s="17">
        <v>0</v>
      </c>
      <c r="E69" s="17">
        <v>11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</row>
    <row r="70" s="17" customFormat="1" spans="1:13">
      <c r="A70" s="17" t="s">
        <v>282</v>
      </c>
      <c r="B70" s="17" t="s">
        <v>37</v>
      </c>
      <c r="C70" s="17" t="s">
        <v>38</v>
      </c>
      <c r="D70" s="17">
        <v>0</v>
      </c>
      <c r="E70" s="17">
        <v>8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</row>
    <row r="71" s="17" customFormat="1" spans="1:13">
      <c r="A71" s="17" t="s">
        <v>283</v>
      </c>
      <c r="B71" s="17" t="s">
        <v>37</v>
      </c>
      <c r="C71" s="17" t="s">
        <v>38</v>
      </c>
      <c r="D71" s="17">
        <v>0</v>
      </c>
      <c r="E71" s="17">
        <v>3</v>
      </c>
      <c r="F71" s="17">
        <v>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0</v>
      </c>
    </row>
    <row r="72" s="17" customFormat="1" spans="1:13">
      <c r="A72" s="17" t="s">
        <v>284</v>
      </c>
      <c r="B72" s="17" t="s">
        <v>37</v>
      </c>
      <c r="C72" s="17" t="s">
        <v>38</v>
      </c>
      <c r="D72" s="17">
        <v>0</v>
      </c>
      <c r="E72" s="17">
        <v>2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0</v>
      </c>
    </row>
    <row r="73" s="17" customFormat="1" spans="1:13">
      <c r="A73" s="17" t="s">
        <v>285</v>
      </c>
      <c r="B73" s="17" t="s">
        <v>37</v>
      </c>
      <c r="C73" s="17" t="s">
        <v>38</v>
      </c>
      <c r="D73" s="17">
        <v>0</v>
      </c>
      <c r="E73" s="17">
        <v>2</v>
      </c>
      <c r="F73" s="17">
        <v>0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>
        <v>0</v>
      </c>
      <c r="M73" s="17">
        <v>0</v>
      </c>
    </row>
    <row r="74" s="17" customFormat="1" spans="1:13">
      <c r="A74" s="17" t="s">
        <v>286</v>
      </c>
      <c r="B74" s="17" t="s">
        <v>37</v>
      </c>
      <c r="C74" s="17" t="s">
        <v>38</v>
      </c>
      <c r="D74" s="17">
        <v>118.47</v>
      </c>
      <c r="E74" s="17">
        <v>921</v>
      </c>
      <c r="F74" s="17">
        <v>10</v>
      </c>
      <c r="G74" s="17">
        <v>1</v>
      </c>
      <c r="H74" s="17">
        <v>118.47</v>
      </c>
      <c r="I74" s="17">
        <v>3</v>
      </c>
      <c r="J74" s="17">
        <v>39.49</v>
      </c>
      <c r="K74" s="17">
        <v>3</v>
      </c>
      <c r="L74" s="17">
        <v>39.49</v>
      </c>
      <c r="M74" s="17">
        <v>240</v>
      </c>
    </row>
    <row r="75" s="17" customFormat="1" spans="1:13">
      <c r="A75" s="17" t="s">
        <v>287</v>
      </c>
      <c r="B75" s="17" t="s">
        <v>37</v>
      </c>
      <c r="C75" s="17" t="s">
        <v>38</v>
      </c>
      <c r="D75" s="17">
        <v>87.55</v>
      </c>
      <c r="E75" s="17">
        <v>842</v>
      </c>
      <c r="F75" s="17">
        <v>6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240</v>
      </c>
    </row>
    <row r="76" s="17" customFormat="1" spans="1:13">
      <c r="A76" s="17" t="s">
        <v>288</v>
      </c>
      <c r="B76" s="17" t="s">
        <v>37</v>
      </c>
      <c r="C76" s="17" t="s">
        <v>38</v>
      </c>
      <c r="D76" s="17">
        <v>46.21</v>
      </c>
      <c r="E76" s="17">
        <v>388</v>
      </c>
      <c r="F76" s="17">
        <v>5</v>
      </c>
      <c r="G76" s="17">
        <v>1</v>
      </c>
      <c r="H76" s="17">
        <v>46.21</v>
      </c>
      <c r="I76" s="17">
        <v>3</v>
      </c>
      <c r="J76" s="17">
        <v>15.4</v>
      </c>
      <c r="K76" s="17">
        <v>3</v>
      </c>
      <c r="L76" s="17">
        <v>15.4</v>
      </c>
      <c r="M76" s="17">
        <v>6</v>
      </c>
    </row>
    <row r="77" s="17" customFormat="1" spans="1:13">
      <c r="A77" s="17" t="s">
        <v>289</v>
      </c>
      <c r="B77" s="17" t="s">
        <v>37</v>
      </c>
      <c r="C77" s="17" t="s">
        <v>38</v>
      </c>
      <c r="D77" s="17">
        <v>37.65</v>
      </c>
      <c r="E77" s="17">
        <v>298</v>
      </c>
      <c r="F77" s="17">
        <v>2</v>
      </c>
      <c r="G77" s="17">
        <v>0</v>
      </c>
      <c r="H77" s="17">
        <v>0</v>
      </c>
      <c r="I77" s="17">
        <v>1</v>
      </c>
      <c r="J77" s="17">
        <v>37.65</v>
      </c>
      <c r="K77" s="17">
        <v>1</v>
      </c>
      <c r="L77" s="17">
        <v>37.65</v>
      </c>
      <c r="M77" s="17">
        <v>0</v>
      </c>
    </row>
    <row r="78" s="17" customFormat="1" spans="1:13">
      <c r="A78" s="17" t="s">
        <v>290</v>
      </c>
      <c r="B78" s="17" t="s">
        <v>37</v>
      </c>
      <c r="C78" s="17" t="s">
        <v>38</v>
      </c>
      <c r="D78" s="17">
        <v>28.33</v>
      </c>
      <c r="E78" s="17">
        <v>233</v>
      </c>
      <c r="F78" s="17">
        <v>3</v>
      </c>
      <c r="G78" s="17">
        <v>0</v>
      </c>
      <c r="H78" s="17">
        <v>0</v>
      </c>
      <c r="I78" s="17">
        <v>1</v>
      </c>
      <c r="J78" s="17">
        <v>28.33</v>
      </c>
      <c r="K78" s="17">
        <v>1</v>
      </c>
      <c r="L78" s="17">
        <v>28.33</v>
      </c>
      <c r="M78" s="17">
        <v>0</v>
      </c>
    </row>
    <row r="79" s="17" customFormat="1" spans="1:13">
      <c r="A79" s="17" t="s">
        <v>291</v>
      </c>
      <c r="B79" s="17" t="s">
        <v>37</v>
      </c>
      <c r="C79" s="17" t="s">
        <v>38</v>
      </c>
      <c r="D79" s="17">
        <v>30.15</v>
      </c>
      <c r="E79" s="17">
        <v>236</v>
      </c>
      <c r="F79" s="17">
        <v>4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</row>
    <row r="80" s="17" customFormat="1" spans="1:13">
      <c r="A80" s="17" t="s">
        <v>292</v>
      </c>
      <c r="B80" s="17" t="s">
        <v>37</v>
      </c>
      <c r="C80" s="17" t="s">
        <v>38</v>
      </c>
      <c r="D80" s="17">
        <v>33.59</v>
      </c>
      <c r="E80" s="17">
        <v>290</v>
      </c>
      <c r="F80" s="17">
        <v>5</v>
      </c>
      <c r="G80" s="17">
        <v>0</v>
      </c>
      <c r="H80" s="17">
        <v>0</v>
      </c>
      <c r="I80" s="17">
        <v>1</v>
      </c>
      <c r="J80" s="17">
        <v>33.59</v>
      </c>
      <c r="K80" s="17">
        <v>1</v>
      </c>
      <c r="L80" s="17">
        <v>33.59</v>
      </c>
      <c r="M80" s="17">
        <v>0</v>
      </c>
    </row>
    <row r="81" s="17" customFormat="1" spans="1:13">
      <c r="A81" s="17" t="s">
        <v>293</v>
      </c>
      <c r="B81" s="17" t="s">
        <v>37</v>
      </c>
      <c r="C81" s="17" t="s">
        <v>38</v>
      </c>
      <c r="D81" s="17">
        <v>43.89</v>
      </c>
      <c r="E81" s="17">
        <v>302</v>
      </c>
      <c r="F81" s="17">
        <v>2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</row>
    <row r="82" s="17" customFormat="1" spans="1:13">
      <c r="A82" s="17" t="s">
        <v>294</v>
      </c>
      <c r="B82" s="17" t="s">
        <v>37</v>
      </c>
      <c r="C82" s="17" t="s">
        <v>38</v>
      </c>
      <c r="D82" s="17">
        <v>82.98</v>
      </c>
      <c r="E82" s="17">
        <v>631</v>
      </c>
      <c r="F82" s="17">
        <v>4</v>
      </c>
      <c r="G82" s="17">
        <v>0</v>
      </c>
      <c r="H82" s="17">
        <v>0</v>
      </c>
      <c r="I82" s="17">
        <v>1</v>
      </c>
      <c r="J82" s="17">
        <v>82.98</v>
      </c>
      <c r="K82" s="17">
        <v>1</v>
      </c>
      <c r="L82" s="17">
        <v>82.98</v>
      </c>
      <c r="M82" s="17">
        <v>0</v>
      </c>
    </row>
    <row r="83" s="17" customFormat="1" spans="1:13">
      <c r="A83" s="17" t="s">
        <v>295</v>
      </c>
      <c r="B83" s="17" t="s">
        <v>37</v>
      </c>
      <c r="C83" s="17" t="s">
        <v>38</v>
      </c>
      <c r="D83" s="17">
        <v>107.61</v>
      </c>
      <c r="E83" s="17">
        <v>747</v>
      </c>
      <c r="F83" s="17">
        <v>9</v>
      </c>
      <c r="G83" s="17">
        <v>0</v>
      </c>
      <c r="H83" s="17">
        <v>0</v>
      </c>
      <c r="I83" s="17">
        <v>3</v>
      </c>
      <c r="J83" s="17">
        <v>35.87</v>
      </c>
      <c r="K83" s="17">
        <v>3</v>
      </c>
      <c r="L83" s="17">
        <v>35.87</v>
      </c>
      <c r="M83" s="17">
        <v>0</v>
      </c>
    </row>
    <row r="84" s="17" customFormat="1" spans="1:13">
      <c r="A84" s="17" t="s">
        <v>296</v>
      </c>
      <c r="B84" s="17" t="s">
        <v>37</v>
      </c>
      <c r="C84" s="17" t="s">
        <v>38</v>
      </c>
      <c r="D84" s="17">
        <v>127.49</v>
      </c>
      <c r="E84" s="17">
        <v>965</v>
      </c>
      <c r="F84" s="17">
        <v>4</v>
      </c>
      <c r="G84" s="17">
        <v>0</v>
      </c>
      <c r="H84" s="17">
        <v>0</v>
      </c>
      <c r="I84" s="17">
        <v>1</v>
      </c>
      <c r="J84" s="17">
        <v>127.49</v>
      </c>
      <c r="K84" s="17">
        <v>1</v>
      </c>
      <c r="L84" s="17">
        <v>127.49</v>
      </c>
      <c r="M84" s="17">
        <v>0</v>
      </c>
    </row>
    <row r="85" s="17" customFormat="1" spans="1:13">
      <c r="A85" s="17" t="s">
        <v>297</v>
      </c>
      <c r="B85" s="17" t="s">
        <v>37</v>
      </c>
      <c r="C85" s="17" t="s">
        <v>38</v>
      </c>
      <c r="D85" s="17">
        <v>130.01</v>
      </c>
      <c r="E85" s="17">
        <v>950</v>
      </c>
      <c r="F85" s="17">
        <v>10</v>
      </c>
      <c r="G85" s="17">
        <v>0</v>
      </c>
      <c r="H85" s="17">
        <v>0</v>
      </c>
      <c r="I85" s="17">
        <v>3</v>
      </c>
      <c r="J85" s="17">
        <v>43.34</v>
      </c>
      <c r="K85" s="17">
        <v>3</v>
      </c>
      <c r="L85" s="17">
        <v>43.34</v>
      </c>
      <c r="M85" s="17">
        <v>0</v>
      </c>
    </row>
    <row r="86" s="17" customFormat="1" spans="1:13">
      <c r="A86" s="17" t="s">
        <v>298</v>
      </c>
      <c r="B86" s="17" t="s">
        <v>37</v>
      </c>
      <c r="C86" s="17" t="s">
        <v>38</v>
      </c>
      <c r="D86" s="17">
        <v>0.51</v>
      </c>
      <c r="E86" s="17">
        <v>114</v>
      </c>
      <c r="F86" s="17">
        <v>0</v>
      </c>
      <c r="G86" s="17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7">
        <v>0</v>
      </c>
    </row>
    <row r="87" s="17" customFormat="1" spans="1:13">
      <c r="A87" s="17" t="s">
        <v>299</v>
      </c>
      <c r="B87" s="17" t="s">
        <v>37</v>
      </c>
      <c r="C87" s="17" t="s">
        <v>38</v>
      </c>
      <c r="D87" s="17">
        <v>0</v>
      </c>
      <c r="E87" s="17">
        <v>33</v>
      </c>
      <c r="F87" s="17">
        <v>0</v>
      </c>
      <c r="G87" s="17">
        <v>0</v>
      </c>
      <c r="H87" s="17">
        <v>0</v>
      </c>
      <c r="I87" s="17">
        <v>0</v>
      </c>
      <c r="J87" s="17">
        <v>0</v>
      </c>
      <c r="K87" s="17">
        <v>0</v>
      </c>
      <c r="L87" s="17">
        <v>0</v>
      </c>
      <c r="M87" s="17">
        <v>0</v>
      </c>
    </row>
    <row r="88" s="17" customFormat="1" spans="1:13">
      <c r="A88" s="17" t="s">
        <v>300</v>
      </c>
      <c r="B88" s="17" t="s">
        <v>37</v>
      </c>
      <c r="C88" s="17" t="s">
        <v>38</v>
      </c>
      <c r="D88" s="17">
        <v>0</v>
      </c>
      <c r="E88" s="17">
        <v>12</v>
      </c>
      <c r="F88" s="17">
        <v>0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7">
        <v>0</v>
      </c>
    </row>
    <row r="89" s="17" customFormat="1" spans="1:13">
      <c r="A89" s="17" t="s">
        <v>301</v>
      </c>
      <c r="B89" s="17" t="s">
        <v>37</v>
      </c>
      <c r="C89" s="17" t="s">
        <v>38</v>
      </c>
      <c r="D89" s="17">
        <v>0</v>
      </c>
      <c r="E89" s="17">
        <v>11</v>
      </c>
      <c r="F89" s="17">
        <v>0</v>
      </c>
      <c r="G89" s="17">
        <v>0</v>
      </c>
      <c r="H89" s="17">
        <v>0</v>
      </c>
      <c r="I89" s="17">
        <v>0</v>
      </c>
      <c r="J89" s="17">
        <v>0</v>
      </c>
      <c r="K89" s="17">
        <v>0</v>
      </c>
      <c r="L89" s="17">
        <v>0</v>
      </c>
      <c r="M89" s="17">
        <v>0</v>
      </c>
    </row>
    <row r="90" s="17" customFormat="1" spans="1:13">
      <c r="A90" s="17" t="s">
        <v>302</v>
      </c>
      <c r="B90" s="17" t="s">
        <v>37</v>
      </c>
      <c r="C90" s="17" t="s">
        <v>38</v>
      </c>
      <c r="D90" s="17">
        <v>0</v>
      </c>
      <c r="E90" s="17">
        <v>5</v>
      </c>
      <c r="F90" s="17">
        <v>0</v>
      </c>
      <c r="G90" s="17">
        <v>0</v>
      </c>
      <c r="H90" s="17">
        <v>0</v>
      </c>
      <c r="I90" s="17">
        <v>0</v>
      </c>
      <c r="J90" s="17">
        <v>0</v>
      </c>
      <c r="K90" s="17">
        <v>0</v>
      </c>
      <c r="L90" s="17">
        <v>0</v>
      </c>
      <c r="M90" s="17">
        <v>0</v>
      </c>
    </row>
    <row r="91" s="17" customFormat="1" spans="1:13">
      <c r="A91" s="17" t="s">
        <v>303</v>
      </c>
      <c r="B91" s="17" t="s">
        <v>37</v>
      </c>
      <c r="C91" s="17" t="s">
        <v>38</v>
      </c>
      <c r="D91" s="17">
        <v>98.98</v>
      </c>
      <c r="E91" s="17">
        <v>822</v>
      </c>
      <c r="F91" s="17">
        <v>5</v>
      </c>
      <c r="G91" s="17">
        <v>0</v>
      </c>
      <c r="H91" s="17">
        <v>0</v>
      </c>
      <c r="I91" s="17">
        <v>0</v>
      </c>
      <c r="J91" s="17">
        <v>0</v>
      </c>
      <c r="K91" s="17">
        <v>0</v>
      </c>
      <c r="L91" s="17">
        <v>0</v>
      </c>
      <c r="M91" s="17">
        <v>0</v>
      </c>
    </row>
    <row r="92" s="17" customFormat="1" spans="1:13">
      <c r="A92" s="17" t="s">
        <v>304</v>
      </c>
      <c r="B92" s="17" t="s">
        <v>37</v>
      </c>
      <c r="C92" s="17" t="s">
        <v>38</v>
      </c>
      <c r="D92" s="17">
        <v>106.8</v>
      </c>
      <c r="E92" s="17">
        <v>979</v>
      </c>
      <c r="F92" s="17">
        <v>2</v>
      </c>
      <c r="G92" s="17">
        <v>1</v>
      </c>
      <c r="H92" s="17">
        <v>106.8</v>
      </c>
      <c r="I92" s="17">
        <v>1</v>
      </c>
      <c r="J92" s="17">
        <v>106.8</v>
      </c>
      <c r="K92" s="17">
        <v>1</v>
      </c>
      <c r="L92" s="17">
        <v>106.8</v>
      </c>
      <c r="M92" s="17">
        <v>30</v>
      </c>
    </row>
    <row r="93" s="17" customFormat="1" spans="1:13">
      <c r="A93" s="17" t="s">
        <v>305</v>
      </c>
      <c r="B93" s="17" t="s">
        <v>37</v>
      </c>
      <c r="C93" s="17" t="s">
        <v>38</v>
      </c>
      <c r="D93" s="17">
        <v>103.08</v>
      </c>
      <c r="E93" s="17">
        <v>966</v>
      </c>
      <c r="F93" s="17">
        <v>9</v>
      </c>
      <c r="G93" s="17">
        <v>0</v>
      </c>
      <c r="H93" s="17">
        <v>0</v>
      </c>
      <c r="I93" s="17">
        <v>1</v>
      </c>
      <c r="J93" s="17">
        <v>103.08</v>
      </c>
      <c r="K93" s="17">
        <v>1</v>
      </c>
      <c r="L93" s="17">
        <v>103.08</v>
      </c>
      <c r="M93" s="17">
        <v>12</v>
      </c>
    </row>
    <row r="94" s="17" customFormat="1" spans="1:13">
      <c r="A94" s="17" t="s">
        <v>306</v>
      </c>
      <c r="B94" s="17" t="s">
        <v>37</v>
      </c>
      <c r="C94" s="17" t="s">
        <v>38</v>
      </c>
      <c r="D94" s="17">
        <v>119.61</v>
      </c>
      <c r="E94" s="17">
        <v>970</v>
      </c>
      <c r="F94" s="17">
        <v>8</v>
      </c>
      <c r="G94" s="17">
        <v>1</v>
      </c>
      <c r="H94" s="17">
        <v>119.61</v>
      </c>
      <c r="I94" s="17">
        <v>2</v>
      </c>
      <c r="J94" s="17">
        <v>59.81</v>
      </c>
      <c r="K94" s="17">
        <v>2</v>
      </c>
      <c r="L94" s="17">
        <v>59.81</v>
      </c>
      <c r="M94" s="17">
        <v>45.9</v>
      </c>
    </row>
    <row r="95" s="17" customFormat="1" spans="1:13">
      <c r="A95" s="17" t="s">
        <v>307</v>
      </c>
      <c r="B95" s="17" t="s">
        <v>37</v>
      </c>
      <c r="C95" s="17" t="s">
        <v>38</v>
      </c>
      <c r="D95" s="17">
        <v>87.75</v>
      </c>
      <c r="E95" s="17">
        <v>816</v>
      </c>
      <c r="F95" s="17">
        <v>4</v>
      </c>
      <c r="G95" s="17">
        <v>0</v>
      </c>
      <c r="H95" s="17">
        <v>0</v>
      </c>
      <c r="I95" s="17">
        <v>1</v>
      </c>
      <c r="J95" s="17">
        <v>87.75</v>
      </c>
      <c r="K95" s="17">
        <v>1</v>
      </c>
      <c r="L95" s="17">
        <v>87.75</v>
      </c>
      <c r="M95" s="17">
        <v>42</v>
      </c>
    </row>
    <row r="96" s="17" customFormat="1" spans="1:13">
      <c r="A96" s="17" t="s">
        <v>308</v>
      </c>
      <c r="B96" s="17" t="s">
        <v>37</v>
      </c>
      <c r="C96" s="17" t="s">
        <v>38</v>
      </c>
      <c r="D96" s="17">
        <v>75.04</v>
      </c>
      <c r="E96" s="17">
        <v>595</v>
      </c>
      <c r="F96" s="17">
        <v>4</v>
      </c>
      <c r="G96" s="17">
        <v>2</v>
      </c>
      <c r="H96" s="17">
        <v>37.52</v>
      </c>
      <c r="I96" s="17">
        <v>2</v>
      </c>
      <c r="J96" s="17">
        <v>37.52</v>
      </c>
      <c r="K96" s="17">
        <v>2</v>
      </c>
      <c r="L96" s="17">
        <v>37.52</v>
      </c>
      <c r="M96" s="17">
        <v>72</v>
      </c>
    </row>
    <row r="97" s="17" customFormat="1" spans="1:13">
      <c r="A97" s="17" t="s">
        <v>309</v>
      </c>
      <c r="B97" s="17" t="s">
        <v>37</v>
      </c>
      <c r="C97" s="17" t="s">
        <v>38</v>
      </c>
      <c r="D97" s="17">
        <v>36.05</v>
      </c>
      <c r="E97" s="17">
        <v>315</v>
      </c>
      <c r="F97" s="17">
        <v>6</v>
      </c>
      <c r="G97" s="17">
        <v>0</v>
      </c>
      <c r="H97" s="17">
        <v>0</v>
      </c>
      <c r="I97" s="17">
        <v>1</v>
      </c>
      <c r="J97" s="17">
        <v>36.05</v>
      </c>
      <c r="K97" s="17">
        <v>2</v>
      </c>
      <c r="L97" s="17">
        <v>18.03</v>
      </c>
      <c r="M97" s="17">
        <v>0</v>
      </c>
    </row>
    <row r="98" s="17" customFormat="1" spans="1:13">
      <c r="A98" s="17" t="s">
        <v>310</v>
      </c>
      <c r="B98" s="17" t="s">
        <v>37</v>
      </c>
      <c r="C98" s="17" t="s">
        <v>38</v>
      </c>
      <c r="D98" s="17">
        <v>183.44</v>
      </c>
      <c r="E98" s="17">
        <v>1295</v>
      </c>
      <c r="F98" s="17">
        <v>7</v>
      </c>
      <c r="G98" s="17">
        <v>0</v>
      </c>
      <c r="H98" s="17">
        <v>0</v>
      </c>
      <c r="I98" s="17">
        <v>2</v>
      </c>
      <c r="J98" s="17">
        <v>91.72</v>
      </c>
      <c r="K98" s="17">
        <v>2</v>
      </c>
      <c r="L98" s="17">
        <v>91.72</v>
      </c>
      <c r="M98" s="17">
        <v>0</v>
      </c>
    </row>
    <row r="99" s="17" customFormat="1" spans="1:13">
      <c r="A99" s="17" t="s">
        <v>311</v>
      </c>
      <c r="B99" s="17" t="s">
        <v>37</v>
      </c>
      <c r="C99" s="17" t="s">
        <v>38</v>
      </c>
      <c r="D99" s="17">
        <v>138.34</v>
      </c>
      <c r="E99" s="17">
        <v>1000</v>
      </c>
      <c r="F99" s="17">
        <v>8</v>
      </c>
      <c r="G99" s="17">
        <v>0</v>
      </c>
      <c r="H99" s="17">
        <v>0</v>
      </c>
      <c r="I99" s="17">
        <v>1</v>
      </c>
      <c r="J99" s="17">
        <v>138.34</v>
      </c>
      <c r="K99" s="17">
        <v>1</v>
      </c>
      <c r="L99" s="17">
        <v>138.34</v>
      </c>
      <c r="M99" s="17">
        <v>0</v>
      </c>
    </row>
    <row r="100" s="17" customFormat="1" spans="1:13">
      <c r="A100" s="17" t="s">
        <v>312</v>
      </c>
      <c r="B100" s="17" t="s">
        <v>37</v>
      </c>
      <c r="C100" s="17" t="s">
        <v>38</v>
      </c>
      <c r="D100" s="17">
        <v>78.95</v>
      </c>
      <c r="E100" s="17">
        <v>691</v>
      </c>
      <c r="F100" s="17">
        <v>4</v>
      </c>
      <c r="G100" s="17">
        <v>0</v>
      </c>
      <c r="H100" s="17">
        <v>0</v>
      </c>
      <c r="I100" s="17">
        <v>3</v>
      </c>
      <c r="J100" s="17">
        <v>26.32</v>
      </c>
      <c r="K100" s="17">
        <v>3</v>
      </c>
      <c r="L100" s="17">
        <v>26.32</v>
      </c>
      <c r="M100" s="17">
        <v>0</v>
      </c>
    </row>
    <row r="101" s="17" customFormat="1" spans="1:13">
      <c r="A101" s="17" t="s">
        <v>313</v>
      </c>
      <c r="B101" s="17" t="s">
        <v>37</v>
      </c>
      <c r="C101" s="17" t="s">
        <v>38</v>
      </c>
      <c r="D101" s="17">
        <v>45.37</v>
      </c>
      <c r="E101" s="17">
        <v>314</v>
      </c>
      <c r="F101" s="17">
        <v>1</v>
      </c>
      <c r="G101" s="17">
        <v>0</v>
      </c>
      <c r="H101" s="17">
        <v>0</v>
      </c>
      <c r="I101" s="17">
        <v>1</v>
      </c>
      <c r="J101" s="17">
        <v>45.37</v>
      </c>
      <c r="K101" s="17">
        <v>1</v>
      </c>
      <c r="L101" s="17">
        <v>45.37</v>
      </c>
      <c r="M101" s="17">
        <v>0</v>
      </c>
    </row>
    <row r="102" s="17" customFormat="1" spans="1:13">
      <c r="A102" s="17" t="s">
        <v>314</v>
      </c>
      <c r="B102" s="17" t="s">
        <v>37</v>
      </c>
      <c r="C102" s="17" t="s">
        <v>38</v>
      </c>
      <c r="D102" s="17">
        <v>38.78</v>
      </c>
      <c r="E102" s="17">
        <v>366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</row>
    <row r="103" s="17" customFormat="1" spans="1:13">
      <c r="A103" s="17" t="s">
        <v>315</v>
      </c>
      <c r="B103" s="17" t="s">
        <v>37</v>
      </c>
      <c r="C103" s="17" t="s">
        <v>38</v>
      </c>
      <c r="D103" s="17">
        <v>37.89</v>
      </c>
      <c r="E103" s="17">
        <v>302</v>
      </c>
      <c r="F103" s="17">
        <v>5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0</v>
      </c>
      <c r="M103" s="17">
        <v>0</v>
      </c>
    </row>
    <row r="104" s="17" customFormat="1" spans="1:13">
      <c r="A104" s="17" t="s">
        <v>316</v>
      </c>
      <c r="B104" s="17" t="s">
        <v>37</v>
      </c>
      <c r="C104" s="17" t="s">
        <v>38</v>
      </c>
      <c r="D104" s="17">
        <v>54.85</v>
      </c>
      <c r="E104" s="17">
        <v>423</v>
      </c>
      <c r="F104" s="17">
        <v>2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</row>
    <row r="105" s="17" customFormat="1" spans="1:13">
      <c r="A105" s="17" t="s">
        <v>317</v>
      </c>
      <c r="B105" s="17" t="s">
        <v>37</v>
      </c>
      <c r="C105" s="17" t="s">
        <v>38</v>
      </c>
      <c r="D105" s="17">
        <v>64.48</v>
      </c>
      <c r="E105" s="17">
        <v>494</v>
      </c>
      <c r="F105" s="17">
        <v>2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</row>
    <row r="106" s="17" customFormat="1" spans="1:13">
      <c r="A106" s="17" t="s">
        <v>318</v>
      </c>
      <c r="B106" s="17" t="s">
        <v>37</v>
      </c>
      <c r="C106" s="17" t="s">
        <v>38</v>
      </c>
      <c r="D106" s="17">
        <v>83.12</v>
      </c>
      <c r="E106" s="17">
        <v>617</v>
      </c>
      <c r="F106" s="17">
        <v>6</v>
      </c>
      <c r="G106" s="17">
        <v>0</v>
      </c>
      <c r="H106" s="17">
        <v>0</v>
      </c>
      <c r="I106" s="17">
        <v>1</v>
      </c>
      <c r="J106" s="17">
        <v>83.12</v>
      </c>
      <c r="K106" s="17">
        <v>1</v>
      </c>
      <c r="L106" s="17">
        <v>83.12</v>
      </c>
      <c r="M106" s="17">
        <v>0</v>
      </c>
    </row>
    <row r="107" s="17" customFormat="1" spans="1:13">
      <c r="A107" s="17" t="s">
        <v>319</v>
      </c>
      <c r="B107" s="17" t="s">
        <v>37</v>
      </c>
      <c r="C107" s="17" t="s">
        <v>38</v>
      </c>
      <c r="D107" s="17">
        <v>32.22</v>
      </c>
      <c r="E107" s="17">
        <v>288</v>
      </c>
      <c r="F107" s="17">
        <v>1</v>
      </c>
      <c r="G107" s="17">
        <v>0</v>
      </c>
      <c r="H107" s="17">
        <v>0</v>
      </c>
      <c r="I107" s="17">
        <v>1</v>
      </c>
      <c r="J107" s="17">
        <v>32.22</v>
      </c>
      <c r="K107" s="17">
        <v>1</v>
      </c>
      <c r="L107" s="17">
        <v>32.22</v>
      </c>
      <c r="M107" s="17">
        <v>0</v>
      </c>
    </row>
    <row r="108" s="17" customFormat="1" spans="1:13">
      <c r="A108" s="17" t="s">
        <v>320</v>
      </c>
      <c r="B108" s="17" t="s">
        <v>37</v>
      </c>
      <c r="C108" s="17" t="s">
        <v>38</v>
      </c>
      <c r="D108" s="17">
        <v>82.87</v>
      </c>
      <c r="E108" s="17">
        <v>610</v>
      </c>
      <c r="F108" s="17">
        <v>5</v>
      </c>
      <c r="G108" s="17">
        <v>0</v>
      </c>
      <c r="H108" s="17">
        <v>0</v>
      </c>
      <c r="I108" s="17">
        <v>0</v>
      </c>
      <c r="J108" s="17">
        <v>0</v>
      </c>
      <c r="K108" s="17">
        <v>1</v>
      </c>
      <c r="L108" s="17">
        <v>82.87</v>
      </c>
      <c r="M108" s="17">
        <v>0</v>
      </c>
    </row>
    <row r="109" s="17" customFormat="1" spans="1:13">
      <c r="A109" s="17" t="s">
        <v>321</v>
      </c>
      <c r="B109" s="17" t="s">
        <v>37</v>
      </c>
      <c r="C109" s="17" t="s">
        <v>38</v>
      </c>
      <c r="D109" s="17">
        <v>112.66</v>
      </c>
      <c r="E109" s="17">
        <v>922</v>
      </c>
      <c r="F109" s="17">
        <v>8</v>
      </c>
      <c r="G109" s="17">
        <v>1</v>
      </c>
      <c r="H109" s="17">
        <v>112.66</v>
      </c>
      <c r="I109" s="17">
        <v>4</v>
      </c>
      <c r="J109" s="17">
        <v>28.17</v>
      </c>
      <c r="K109" s="17">
        <v>4</v>
      </c>
      <c r="L109" s="17">
        <v>28.17</v>
      </c>
      <c r="M109" s="17">
        <v>6</v>
      </c>
    </row>
    <row r="110" s="17" customFormat="1" spans="1:13">
      <c r="A110" s="17" t="s">
        <v>322</v>
      </c>
      <c r="B110" s="17" t="s">
        <v>37</v>
      </c>
      <c r="C110" s="17" t="s">
        <v>38</v>
      </c>
      <c r="D110" s="17">
        <v>144.06</v>
      </c>
      <c r="E110" s="17">
        <v>650</v>
      </c>
      <c r="F110" s="17">
        <v>5</v>
      </c>
      <c r="G110" s="17">
        <v>0</v>
      </c>
      <c r="H110" s="17">
        <v>0</v>
      </c>
      <c r="I110" s="17">
        <v>2</v>
      </c>
      <c r="J110" s="17">
        <v>72.03</v>
      </c>
      <c r="K110" s="17">
        <v>3</v>
      </c>
      <c r="L110" s="17">
        <v>48.02</v>
      </c>
      <c r="M110" s="17">
        <v>0</v>
      </c>
    </row>
    <row r="111" s="17" customFormat="1" spans="1:13">
      <c r="A111" s="17" t="s">
        <v>323</v>
      </c>
      <c r="B111" s="17" t="s">
        <v>37</v>
      </c>
      <c r="C111" s="17" t="s">
        <v>38</v>
      </c>
      <c r="D111" s="17">
        <v>0.58</v>
      </c>
      <c r="E111" s="17">
        <v>121</v>
      </c>
      <c r="F111" s="17">
        <v>2</v>
      </c>
      <c r="G111" s="17">
        <v>1</v>
      </c>
      <c r="H111" s="17">
        <v>0.58</v>
      </c>
      <c r="I111" s="17">
        <v>1</v>
      </c>
      <c r="J111" s="17">
        <v>0.58</v>
      </c>
      <c r="K111" s="17">
        <v>1</v>
      </c>
      <c r="L111" s="17">
        <v>0.58</v>
      </c>
      <c r="M111" s="17">
        <v>30</v>
      </c>
    </row>
    <row r="112" s="17" customFormat="1" spans="1:13">
      <c r="A112" s="17" t="s">
        <v>324</v>
      </c>
      <c r="B112" s="17" t="s">
        <v>37</v>
      </c>
      <c r="C112" s="17" t="s">
        <v>38</v>
      </c>
      <c r="D112" s="17">
        <v>0</v>
      </c>
      <c r="E112" s="17">
        <v>22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</row>
    <row r="113" s="17" customFormat="1" spans="1:13">
      <c r="A113" s="17" t="s">
        <v>325</v>
      </c>
      <c r="B113" s="17" t="s">
        <v>37</v>
      </c>
      <c r="C113" s="17" t="s">
        <v>38</v>
      </c>
      <c r="D113" s="17">
        <v>0</v>
      </c>
      <c r="E113" s="17">
        <v>10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</row>
    <row r="114" s="17" customFormat="1" spans="1:13">
      <c r="A114" s="17" t="s">
        <v>326</v>
      </c>
      <c r="B114" s="17" t="s">
        <v>37</v>
      </c>
      <c r="C114" s="17" t="s">
        <v>38</v>
      </c>
      <c r="D114" s="17">
        <v>0</v>
      </c>
      <c r="E114" s="17">
        <v>6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</row>
    <row r="115" s="17" customFormat="1" spans="1:13">
      <c r="A115" s="17" t="s">
        <v>327</v>
      </c>
      <c r="B115" s="17" t="s">
        <v>37</v>
      </c>
      <c r="C115" s="17" t="s">
        <v>38</v>
      </c>
      <c r="D115" s="17">
        <v>79.28</v>
      </c>
      <c r="E115" s="17">
        <v>493</v>
      </c>
      <c r="F115" s="17">
        <v>3</v>
      </c>
      <c r="G115" s="17">
        <v>0</v>
      </c>
      <c r="H115" s="17">
        <v>0</v>
      </c>
      <c r="I115" s="17">
        <v>1</v>
      </c>
      <c r="J115" s="17">
        <v>79.28</v>
      </c>
      <c r="K115" s="17">
        <v>1</v>
      </c>
      <c r="L115" s="17">
        <v>79.28</v>
      </c>
      <c r="M115" s="17">
        <v>0</v>
      </c>
    </row>
    <row r="116" s="17" customFormat="1" spans="1:13">
      <c r="A116" s="17" t="s">
        <v>328</v>
      </c>
      <c r="B116" s="17" t="s">
        <v>37</v>
      </c>
      <c r="C116" s="17" t="s">
        <v>38</v>
      </c>
      <c r="D116" s="17">
        <v>76.64</v>
      </c>
      <c r="E116" s="17">
        <v>557</v>
      </c>
      <c r="F116" s="17">
        <v>6</v>
      </c>
      <c r="G116" s="17">
        <v>0</v>
      </c>
      <c r="H116" s="17">
        <v>0</v>
      </c>
      <c r="I116" s="17">
        <v>2</v>
      </c>
      <c r="J116" s="17">
        <v>38.32</v>
      </c>
      <c r="K116" s="17">
        <v>2</v>
      </c>
      <c r="L116" s="17">
        <v>38.32</v>
      </c>
      <c r="M116" s="17">
        <v>0</v>
      </c>
    </row>
    <row r="117" s="17" customFormat="1" spans="1:13">
      <c r="A117" s="17" t="s">
        <v>329</v>
      </c>
      <c r="B117" s="17" t="s">
        <v>37</v>
      </c>
      <c r="C117" s="17" t="s">
        <v>38</v>
      </c>
      <c r="D117" s="17">
        <v>79.78</v>
      </c>
      <c r="E117" s="17">
        <v>606</v>
      </c>
      <c r="F117" s="17">
        <v>4</v>
      </c>
      <c r="G117" s="17">
        <v>0</v>
      </c>
      <c r="H117" s="17">
        <v>0</v>
      </c>
      <c r="I117" s="17">
        <v>1</v>
      </c>
      <c r="J117" s="17">
        <v>79.78</v>
      </c>
      <c r="K117" s="17">
        <v>1</v>
      </c>
      <c r="L117" s="17">
        <v>79.78</v>
      </c>
      <c r="M117" s="17">
        <v>0</v>
      </c>
    </row>
    <row r="118" s="17" customFormat="1" spans="1:13">
      <c r="A118" s="17" t="s">
        <v>330</v>
      </c>
      <c r="B118" s="17" t="s">
        <v>37</v>
      </c>
      <c r="C118" s="17" t="s">
        <v>38</v>
      </c>
      <c r="D118" s="17">
        <v>24.61</v>
      </c>
      <c r="E118" s="17">
        <v>262</v>
      </c>
      <c r="F118" s="17">
        <v>5</v>
      </c>
      <c r="G118" s="17">
        <v>0</v>
      </c>
      <c r="H118" s="17">
        <v>0</v>
      </c>
      <c r="I118" s="17">
        <v>2</v>
      </c>
      <c r="J118" s="17">
        <v>12.31</v>
      </c>
      <c r="K118" s="17">
        <v>2</v>
      </c>
      <c r="L118" s="17">
        <v>12.31</v>
      </c>
      <c r="M118" s="17">
        <v>0</v>
      </c>
    </row>
    <row r="119" s="17" customFormat="1" spans="1:13">
      <c r="A119" s="17" t="s">
        <v>331</v>
      </c>
      <c r="B119" s="17" t="s">
        <v>37</v>
      </c>
      <c r="C119" s="17" t="s">
        <v>38</v>
      </c>
      <c r="D119" s="17">
        <v>9.16</v>
      </c>
      <c r="E119" s="17">
        <v>83</v>
      </c>
      <c r="F119" s="17">
        <v>2</v>
      </c>
      <c r="G119" s="17">
        <v>0</v>
      </c>
      <c r="H119" s="17">
        <v>0</v>
      </c>
      <c r="I119" s="17">
        <v>1</v>
      </c>
      <c r="J119" s="17">
        <v>9.16</v>
      </c>
      <c r="K119" s="17">
        <v>1</v>
      </c>
      <c r="L119" s="17">
        <v>9.16</v>
      </c>
      <c r="M119" s="17">
        <v>0</v>
      </c>
    </row>
    <row r="120" s="17" customFormat="1" spans="1:13">
      <c r="A120" s="17" t="s">
        <v>332</v>
      </c>
      <c r="B120" s="17" t="s">
        <v>37</v>
      </c>
      <c r="C120" s="17" t="s">
        <v>38</v>
      </c>
      <c r="D120" s="17">
        <v>12.09</v>
      </c>
      <c r="E120" s="17">
        <v>74</v>
      </c>
      <c r="F120" s="17">
        <v>1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</row>
    <row r="121" s="17" customFormat="1" spans="1:13">
      <c r="A121" s="17" t="s">
        <v>333</v>
      </c>
      <c r="B121" s="17" t="s">
        <v>37</v>
      </c>
      <c r="C121" s="17" t="s">
        <v>38</v>
      </c>
      <c r="D121" s="17">
        <v>5.62</v>
      </c>
      <c r="E121" s="17">
        <v>39</v>
      </c>
      <c r="F121" s="17">
        <v>1</v>
      </c>
      <c r="G121" s="17">
        <v>0</v>
      </c>
      <c r="H121" s="17">
        <v>0</v>
      </c>
      <c r="I121" s="17">
        <v>1</v>
      </c>
      <c r="J121" s="17">
        <v>5.62</v>
      </c>
      <c r="K121" s="17">
        <v>1</v>
      </c>
      <c r="L121" s="17">
        <v>5.62</v>
      </c>
      <c r="M121" s="17">
        <v>0</v>
      </c>
    </row>
    <row r="122" s="17" customFormat="1" spans="1:13">
      <c r="A122" s="17" t="s">
        <v>334</v>
      </c>
      <c r="B122" s="17" t="s">
        <v>37</v>
      </c>
      <c r="C122" s="17" t="s">
        <v>38</v>
      </c>
      <c r="D122" s="17">
        <v>123.56</v>
      </c>
      <c r="E122" s="17">
        <v>800</v>
      </c>
      <c r="F122" s="17">
        <v>6</v>
      </c>
      <c r="G122" s="17">
        <v>0</v>
      </c>
      <c r="H122" s="17">
        <v>0</v>
      </c>
      <c r="I122" s="17">
        <v>1</v>
      </c>
      <c r="J122" s="17">
        <v>123.56</v>
      </c>
      <c r="K122" s="17">
        <v>1</v>
      </c>
      <c r="L122" s="17">
        <v>123.56</v>
      </c>
      <c r="M122" s="17">
        <v>0</v>
      </c>
    </row>
    <row r="123" s="17" customFormat="1" spans="1:13">
      <c r="A123" s="17" t="s">
        <v>335</v>
      </c>
      <c r="B123" s="17" t="s">
        <v>37</v>
      </c>
      <c r="C123" s="17" t="s">
        <v>38</v>
      </c>
      <c r="D123" s="17">
        <v>57.46</v>
      </c>
      <c r="E123" s="17">
        <v>432</v>
      </c>
      <c r="F123" s="17">
        <v>3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</row>
    <row r="124" s="17" customFormat="1" spans="1:13">
      <c r="A124" s="17" t="s">
        <v>336</v>
      </c>
      <c r="B124" s="17" t="s">
        <v>37</v>
      </c>
      <c r="C124" s="17" t="s">
        <v>38</v>
      </c>
      <c r="D124" s="17">
        <v>29.69</v>
      </c>
      <c r="E124" s="17">
        <v>215</v>
      </c>
      <c r="F124" s="17">
        <v>1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</row>
    <row r="125" s="17" customFormat="1" spans="1:13">
      <c r="A125" s="17" t="s">
        <v>337</v>
      </c>
      <c r="B125" s="17" t="s">
        <v>37</v>
      </c>
      <c r="C125" s="17" t="s">
        <v>38</v>
      </c>
      <c r="D125" s="17">
        <v>28.25</v>
      </c>
      <c r="E125" s="17">
        <v>98</v>
      </c>
      <c r="F125" s="17">
        <v>0</v>
      </c>
      <c r="G125" s="17">
        <v>0</v>
      </c>
      <c r="H125" s="17">
        <v>0</v>
      </c>
      <c r="I125" s="17">
        <v>1</v>
      </c>
      <c r="J125" s="17">
        <v>28.25</v>
      </c>
      <c r="K125" s="17">
        <v>1</v>
      </c>
      <c r="L125" s="17">
        <v>28.25</v>
      </c>
      <c r="M125" s="17">
        <v>0</v>
      </c>
    </row>
    <row r="126" s="17" customFormat="1" spans="1:13">
      <c r="A126" s="17" t="s">
        <v>338</v>
      </c>
      <c r="B126" s="17" t="s">
        <v>37</v>
      </c>
      <c r="C126" s="17" t="s">
        <v>38</v>
      </c>
      <c r="D126" s="17">
        <v>17.71</v>
      </c>
      <c r="E126" s="17">
        <v>105</v>
      </c>
      <c r="F126" s="17">
        <v>1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</row>
    <row r="127" s="17" customFormat="1" spans="1:13">
      <c r="A127" s="17" t="s">
        <v>339</v>
      </c>
      <c r="B127" s="17" t="s">
        <v>37</v>
      </c>
      <c r="C127" s="17" t="s">
        <v>38</v>
      </c>
      <c r="D127" s="17">
        <v>18.16</v>
      </c>
      <c r="E127" s="17">
        <v>111</v>
      </c>
      <c r="F127" s="17">
        <v>3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</row>
    <row r="128" s="17" customFormat="1" spans="1:13">
      <c r="A128" s="17" t="s">
        <v>340</v>
      </c>
      <c r="B128" s="17" t="s">
        <v>37</v>
      </c>
      <c r="C128" s="17" t="s">
        <v>38</v>
      </c>
      <c r="D128" s="17">
        <v>24.94</v>
      </c>
      <c r="E128" s="17">
        <v>133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</row>
    <row r="129" s="17" customFormat="1" spans="1:13">
      <c r="A129" s="17" t="s">
        <v>341</v>
      </c>
      <c r="B129" s="17" t="s">
        <v>37</v>
      </c>
      <c r="C129" s="17" t="s">
        <v>38</v>
      </c>
      <c r="D129" s="17">
        <v>25.72</v>
      </c>
      <c r="E129" s="17">
        <v>178</v>
      </c>
      <c r="F129" s="17">
        <v>2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</row>
    <row r="130" s="17" customFormat="1" spans="1:13">
      <c r="A130" s="17" t="s">
        <v>342</v>
      </c>
      <c r="B130" s="17" t="s">
        <v>37</v>
      </c>
      <c r="C130" s="17" t="s">
        <v>38</v>
      </c>
      <c r="D130" s="17">
        <v>38.68</v>
      </c>
      <c r="E130" s="17">
        <v>210</v>
      </c>
      <c r="F130" s="17">
        <v>2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</row>
    <row r="131" s="17" customFormat="1" spans="1:13">
      <c r="A131" s="17" t="s">
        <v>343</v>
      </c>
      <c r="B131" s="17" t="s">
        <v>37</v>
      </c>
      <c r="C131" s="17" t="s">
        <v>38</v>
      </c>
      <c r="D131" s="17">
        <v>52.68</v>
      </c>
      <c r="E131" s="17">
        <v>288</v>
      </c>
      <c r="F131" s="17">
        <v>2</v>
      </c>
      <c r="G131" s="17">
        <v>0</v>
      </c>
      <c r="H131" s="17">
        <v>0</v>
      </c>
      <c r="I131" s="17">
        <v>1</v>
      </c>
      <c r="J131" s="17">
        <v>52.68</v>
      </c>
      <c r="K131" s="17">
        <v>1</v>
      </c>
      <c r="L131" s="17">
        <v>52.68</v>
      </c>
      <c r="M131" s="17">
        <v>0</v>
      </c>
    </row>
    <row r="132" s="17" customFormat="1" spans="1:13">
      <c r="A132" s="17" t="s">
        <v>344</v>
      </c>
      <c r="B132" s="17" t="s">
        <v>37</v>
      </c>
      <c r="C132" s="17" t="s">
        <v>38</v>
      </c>
      <c r="D132" s="17">
        <v>56.89</v>
      </c>
      <c r="E132" s="17">
        <v>376</v>
      </c>
      <c r="F132" s="17">
        <v>0</v>
      </c>
      <c r="G132" s="17">
        <v>0</v>
      </c>
      <c r="H132" s="17">
        <v>0</v>
      </c>
      <c r="I132" s="17">
        <v>0</v>
      </c>
      <c r="J132" s="17">
        <v>0</v>
      </c>
      <c r="K132" s="17">
        <v>1</v>
      </c>
      <c r="L132" s="17">
        <v>56.89</v>
      </c>
      <c r="M132" s="17">
        <v>0</v>
      </c>
    </row>
    <row r="133" s="17" customFormat="1" spans="1:13">
      <c r="A133" s="17" t="s">
        <v>345</v>
      </c>
      <c r="B133" s="17" t="s">
        <v>37</v>
      </c>
      <c r="C133" s="17" t="s">
        <v>38</v>
      </c>
      <c r="D133" s="17">
        <v>69.52</v>
      </c>
      <c r="E133" s="17">
        <v>411</v>
      </c>
      <c r="F133" s="17">
        <v>5</v>
      </c>
      <c r="G133" s="17">
        <v>0</v>
      </c>
      <c r="H133" s="17">
        <v>0</v>
      </c>
      <c r="I133" s="17">
        <v>2</v>
      </c>
      <c r="J133" s="17">
        <v>34.76</v>
      </c>
      <c r="K133" s="17">
        <v>2</v>
      </c>
      <c r="L133" s="17">
        <v>34.76</v>
      </c>
      <c r="M133" s="17">
        <v>0</v>
      </c>
    </row>
    <row r="134" s="17" customFormat="1" spans="1:13">
      <c r="A134" s="17" t="s">
        <v>346</v>
      </c>
      <c r="B134" s="17" t="s">
        <v>37</v>
      </c>
      <c r="C134" s="17" t="s">
        <v>38</v>
      </c>
      <c r="D134" s="17">
        <v>67.48</v>
      </c>
      <c r="E134" s="17">
        <v>457</v>
      </c>
      <c r="F134" s="17">
        <v>4</v>
      </c>
      <c r="G134" s="17">
        <v>0</v>
      </c>
      <c r="H134" s="17">
        <v>0</v>
      </c>
      <c r="I134" s="17">
        <v>1</v>
      </c>
      <c r="J134" s="17">
        <v>67.48</v>
      </c>
      <c r="K134" s="17">
        <v>1</v>
      </c>
      <c r="L134" s="17">
        <v>67.48</v>
      </c>
      <c r="M134" s="17">
        <v>0</v>
      </c>
    </row>
    <row r="135" s="17" customFormat="1" spans="1:13">
      <c r="A135" s="17" t="s">
        <v>347</v>
      </c>
      <c r="B135" s="17" t="s">
        <v>37</v>
      </c>
      <c r="C135" s="17" t="s">
        <v>38</v>
      </c>
      <c r="D135" s="17">
        <v>0.08</v>
      </c>
      <c r="E135" s="17">
        <v>46</v>
      </c>
      <c r="F135" s="17">
        <v>0</v>
      </c>
      <c r="G135" s="17">
        <v>0</v>
      </c>
      <c r="H135" s="17">
        <v>0</v>
      </c>
      <c r="I135" s="17">
        <v>0</v>
      </c>
      <c r="J135" s="17">
        <v>0</v>
      </c>
      <c r="K135" s="17">
        <v>0</v>
      </c>
      <c r="L135" s="17">
        <v>0</v>
      </c>
      <c r="M135" s="17">
        <v>0</v>
      </c>
    </row>
    <row r="136" s="17" customFormat="1" spans="1:13">
      <c r="A136" s="17" t="s">
        <v>348</v>
      </c>
      <c r="B136" s="17" t="s">
        <v>37</v>
      </c>
      <c r="C136" s="17" t="s">
        <v>38</v>
      </c>
      <c r="D136" s="17">
        <v>0</v>
      </c>
      <c r="E136" s="17">
        <v>15</v>
      </c>
      <c r="F136" s="17">
        <v>1</v>
      </c>
      <c r="G136" s="17">
        <v>0</v>
      </c>
      <c r="H136" s="17">
        <v>0</v>
      </c>
      <c r="I136" s="17">
        <v>0</v>
      </c>
      <c r="J136" s="17">
        <v>0</v>
      </c>
      <c r="K136" s="17">
        <v>0</v>
      </c>
      <c r="L136" s="17">
        <v>0</v>
      </c>
      <c r="M136" s="17">
        <v>0</v>
      </c>
    </row>
    <row r="137" s="17" customFormat="1" spans="1:13">
      <c r="A137" s="17" t="s">
        <v>349</v>
      </c>
      <c r="B137" s="17" t="s">
        <v>37</v>
      </c>
      <c r="C137" s="17" t="s">
        <v>38</v>
      </c>
      <c r="D137" s="17">
        <v>0</v>
      </c>
      <c r="E137" s="17">
        <v>2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</row>
    <row r="138" s="17" customFormat="1" spans="1:13">
      <c r="A138" s="17" t="s">
        <v>350</v>
      </c>
      <c r="B138" s="17" t="s">
        <v>37</v>
      </c>
      <c r="C138" s="17" t="s">
        <v>38</v>
      </c>
      <c r="D138" s="17">
        <v>0</v>
      </c>
      <c r="E138" s="17">
        <v>3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</row>
    <row r="139" s="17" customFormat="1" spans="1:13">
      <c r="A139" s="17" t="s">
        <v>351</v>
      </c>
      <c r="B139" s="17" t="s">
        <v>37</v>
      </c>
      <c r="C139" s="17" t="s">
        <v>38</v>
      </c>
      <c r="D139" s="17">
        <v>55.16</v>
      </c>
      <c r="E139" s="17">
        <v>312</v>
      </c>
      <c r="F139" s="17">
        <v>3</v>
      </c>
      <c r="G139" s="17">
        <v>0</v>
      </c>
      <c r="H139" s="17">
        <v>0</v>
      </c>
      <c r="I139" s="17">
        <v>2</v>
      </c>
      <c r="J139" s="17">
        <v>27.58</v>
      </c>
      <c r="K139" s="17">
        <v>2</v>
      </c>
      <c r="L139" s="17">
        <v>27.58</v>
      </c>
      <c r="M139" s="17">
        <v>0</v>
      </c>
    </row>
    <row r="140" s="17" customFormat="1" spans="1:13">
      <c r="A140" s="17" t="s">
        <v>352</v>
      </c>
      <c r="B140" s="17" t="s">
        <v>37</v>
      </c>
      <c r="C140" s="17" t="s">
        <v>38</v>
      </c>
      <c r="D140" s="17">
        <v>70.75</v>
      </c>
      <c r="E140" s="17">
        <v>467</v>
      </c>
      <c r="F140" s="17">
        <v>1</v>
      </c>
      <c r="G140" s="17">
        <v>0</v>
      </c>
      <c r="H140" s="17">
        <v>0</v>
      </c>
      <c r="I140" s="17">
        <v>1</v>
      </c>
      <c r="J140" s="17">
        <v>70.75</v>
      </c>
      <c r="K140" s="17">
        <v>1</v>
      </c>
      <c r="L140" s="17">
        <v>70.75</v>
      </c>
      <c r="M140" s="17">
        <v>0</v>
      </c>
    </row>
    <row r="141" s="17" customFormat="1" spans="1:13">
      <c r="A141" s="17" t="s">
        <v>353</v>
      </c>
      <c r="B141" s="17" t="s">
        <v>37</v>
      </c>
      <c r="C141" s="17" t="s">
        <v>38</v>
      </c>
      <c r="D141" s="17">
        <v>75.9</v>
      </c>
      <c r="E141" s="17">
        <v>579</v>
      </c>
      <c r="F141" s="17">
        <v>1</v>
      </c>
      <c r="G141" s="17">
        <v>0</v>
      </c>
      <c r="H141" s="17">
        <v>0</v>
      </c>
      <c r="I141" s="17">
        <v>3</v>
      </c>
      <c r="J141" s="17">
        <v>25.3</v>
      </c>
      <c r="K141" s="17">
        <v>3</v>
      </c>
      <c r="L141" s="17">
        <v>25.3</v>
      </c>
      <c r="M141" s="17">
        <v>0</v>
      </c>
    </row>
    <row r="142" s="17" customFormat="1" spans="1:13">
      <c r="A142" s="17" t="s">
        <v>354</v>
      </c>
      <c r="B142" s="17" t="s">
        <v>37</v>
      </c>
      <c r="C142" s="17" t="s">
        <v>38</v>
      </c>
      <c r="D142" s="17">
        <v>65.63</v>
      </c>
      <c r="E142" s="17">
        <v>454</v>
      </c>
      <c r="F142" s="17">
        <v>8</v>
      </c>
      <c r="G142" s="17">
        <v>0</v>
      </c>
      <c r="H142" s="17">
        <v>0</v>
      </c>
      <c r="I142" s="17">
        <v>5</v>
      </c>
      <c r="J142" s="17">
        <v>13.13</v>
      </c>
      <c r="K142" s="17">
        <v>6</v>
      </c>
      <c r="L142" s="17">
        <v>10.94</v>
      </c>
      <c r="M142" s="17">
        <v>0</v>
      </c>
    </row>
    <row r="143" s="17" customFormat="1" spans="1:13">
      <c r="A143" s="17" t="s">
        <v>355</v>
      </c>
      <c r="B143" s="17" t="s">
        <v>37</v>
      </c>
      <c r="C143" s="17" t="s">
        <v>38</v>
      </c>
      <c r="D143" s="17">
        <v>48.91</v>
      </c>
      <c r="E143" s="17">
        <v>360</v>
      </c>
      <c r="F143" s="17">
        <v>4</v>
      </c>
      <c r="G143" s="17">
        <v>0</v>
      </c>
      <c r="H143" s="17">
        <v>0</v>
      </c>
      <c r="I143" s="17">
        <v>1</v>
      </c>
      <c r="J143" s="17">
        <v>48.91</v>
      </c>
      <c r="K143" s="17">
        <v>1</v>
      </c>
      <c r="L143" s="17">
        <v>48.91</v>
      </c>
      <c r="M143" s="17">
        <v>0</v>
      </c>
    </row>
    <row r="144" s="17" customFormat="1" spans="1:13">
      <c r="A144" s="17" t="s">
        <v>356</v>
      </c>
      <c r="B144" s="17" t="s">
        <v>37</v>
      </c>
      <c r="C144" s="17" t="s">
        <v>38</v>
      </c>
      <c r="D144" s="17">
        <v>38.9</v>
      </c>
      <c r="E144" s="17">
        <v>270</v>
      </c>
      <c r="F144" s="17">
        <v>7</v>
      </c>
      <c r="G144" s="17">
        <v>1</v>
      </c>
      <c r="H144" s="17">
        <v>38.9</v>
      </c>
      <c r="I144" s="17">
        <v>1</v>
      </c>
      <c r="J144" s="17">
        <v>38.9</v>
      </c>
      <c r="K144" s="17">
        <v>1</v>
      </c>
      <c r="L144" s="17">
        <v>38.9</v>
      </c>
      <c r="M144" s="17">
        <v>30</v>
      </c>
    </row>
    <row r="145" s="17" customFormat="1" spans="1:13">
      <c r="A145" s="17" t="s">
        <v>357</v>
      </c>
      <c r="B145" s="17" t="s">
        <v>37</v>
      </c>
      <c r="C145" s="17" t="s">
        <v>38</v>
      </c>
      <c r="D145" s="17">
        <v>20.33</v>
      </c>
      <c r="E145" s="17">
        <v>157</v>
      </c>
      <c r="F145" s="17">
        <v>2</v>
      </c>
      <c r="G145" s="17">
        <v>0</v>
      </c>
      <c r="H145" s="17">
        <v>0</v>
      </c>
      <c r="I145" s="17">
        <v>1</v>
      </c>
      <c r="J145" s="17">
        <v>20.33</v>
      </c>
      <c r="K145" s="17">
        <v>1</v>
      </c>
      <c r="L145" s="17">
        <v>20.33</v>
      </c>
      <c r="M145" s="17">
        <v>0</v>
      </c>
    </row>
    <row r="146" s="17" customFormat="1" spans="1:13">
      <c r="A146" s="17" t="s">
        <v>358</v>
      </c>
      <c r="B146" s="17" t="s">
        <v>37</v>
      </c>
      <c r="C146" s="17" t="s">
        <v>38</v>
      </c>
      <c r="D146" s="17">
        <v>83.27</v>
      </c>
      <c r="E146" s="17">
        <v>484</v>
      </c>
      <c r="F146" s="17">
        <v>4</v>
      </c>
      <c r="G146" s="17">
        <v>0</v>
      </c>
      <c r="H146" s="17">
        <v>0</v>
      </c>
      <c r="I146" s="17">
        <v>1</v>
      </c>
      <c r="J146" s="17">
        <v>83.27</v>
      </c>
      <c r="K146" s="17">
        <v>1</v>
      </c>
      <c r="L146" s="17">
        <v>83.27</v>
      </c>
      <c r="M146" s="17">
        <v>0</v>
      </c>
    </row>
    <row r="147" s="17" customFormat="1" spans="1:13">
      <c r="A147" s="17" t="s">
        <v>359</v>
      </c>
      <c r="B147" s="17" t="s">
        <v>37</v>
      </c>
      <c r="C147" s="17" t="s">
        <v>38</v>
      </c>
      <c r="D147" s="17">
        <v>63.51</v>
      </c>
      <c r="E147" s="17">
        <v>463</v>
      </c>
      <c r="F147" s="17">
        <v>4</v>
      </c>
      <c r="G147" s="17">
        <v>0</v>
      </c>
      <c r="H147" s="17">
        <v>0</v>
      </c>
      <c r="I147" s="17">
        <v>0</v>
      </c>
      <c r="J147" s="17">
        <v>0</v>
      </c>
      <c r="K147" s="17">
        <v>0</v>
      </c>
      <c r="L147" s="17">
        <v>0</v>
      </c>
      <c r="M147" s="17">
        <v>0</v>
      </c>
    </row>
    <row r="148" s="17" customFormat="1" spans="1:13">
      <c r="A148" s="17" t="s">
        <v>360</v>
      </c>
      <c r="B148" s="17" t="s">
        <v>37</v>
      </c>
      <c r="C148" s="17" t="s">
        <v>38</v>
      </c>
      <c r="D148" s="17">
        <v>36.14</v>
      </c>
      <c r="E148" s="17">
        <v>281</v>
      </c>
      <c r="F148" s="17">
        <v>1</v>
      </c>
      <c r="G148" s="17">
        <v>0</v>
      </c>
      <c r="H148" s="17">
        <v>0</v>
      </c>
      <c r="I148" s="17">
        <v>1</v>
      </c>
      <c r="J148" s="17">
        <v>36.14</v>
      </c>
      <c r="K148" s="17">
        <v>1</v>
      </c>
      <c r="L148" s="17">
        <v>36.14</v>
      </c>
      <c r="M148" s="17">
        <v>0</v>
      </c>
    </row>
    <row r="149" s="17" customFormat="1" spans="1:13">
      <c r="A149" s="17" t="s">
        <v>361</v>
      </c>
      <c r="B149" s="17" t="s">
        <v>37</v>
      </c>
      <c r="C149" s="17" t="s">
        <v>38</v>
      </c>
      <c r="D149" s="17">
        <v>25.51</v>
      </c>
      <c r="E149" s="17">
        <v>174</v>
      </c>
      <c r="F149" s="17">
        <v>1</v>
      </c>
      <c r="G149" s="17">
        <v>0</v>
      </c>
      <c r="H149" s="17">
        <v>0</v>
      </c>
      <c r="I149" s="17">
        <v>0</v>
      </c>
      <c r="J149" s="17">
        <v>0</v>
      </c>
      <c r="K149" s="17">
        <v>0</v>
      </c>
      <c r="L149" s="17">
        <v>0</v>
      </c>
      <c r="M149" s="17">
        <v>0</v>
      </c>
    </row>
    <row r="150" s="17" customFormat="1" spans="1:13">
      <c r="A150" s="17" t="s">
        <v>362</v>
      </c>
      <c r="B150" s="17" t="s">
        <v>37</v>
      </c>
      <c r="C150" s="17" t="s">
        <v>38</v>
      </c>
      <c r="D150" s="17">
        <v>16.07</v>
      </c>
      <c r="E150" s="17">
        <v>148</v>
      </c>
      <c r="F150" s="17">
        <v>1</v>
      </c>
      <c r="G150" s="17">
        <v>0</v>
      </c>
      <c r="H150" s="17">
        <v>0</v>
      </c>
      <c r="I150" s="17">
        <v>1</v>
      </c>
      <c r="J150" s="17">
        <v>16.07</v>
      </c>
      <c r="K150" s="17">
        <v>1</v>
      </c>
      <c r="L150" s="17">
        <v>16.07</v>
      </c>
      <c r="M150" s="17">
        <v>0</v>
      </c>
    </row>
    <row r="151" s="17" customFormat="1" spans="1:13">
      <c r="A151" s="17" t="s">
        <v>363</v>
      </c>
      <c r="B151" s="17" t="s">
        <v>37</v>
      </c>
      <c r="C151" s="17" t="s">
        <v>38</v>
      </c>
      <c r="D151" s="17">
        <v>21.41</v>
      </c>
      <c r="E151" s="17">
        <v>172</v>
      </c>
      <c r="F151" s="17">
        <v>2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</row>
    <row r="152" s="17" customFormat="1" spans="1:13">
      <c r="A152" s="17" t="s">
        <v>364</v>
      </c>
      <c r="B152" s="17" t="s">
        <v>37</v>
      </c>
      <c r="C152" s="17" t="s">
        <v>38</v>
      </c>
      <c r="D152" s="17">
        <v>22.99</v>
      </c>
      <c r="E152" s="17">
        <v>195</v>
      </c>
      <c r="F152" s="17">
        <v>1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</row>
    <row r="153" s="17" customFormat="1" spans="1:13">
      <c r="A153" s="17" t="s">
        <v>365</v>
      </c>
      <c r="B153" s="17" t="s">
        <v>37</v>
      </c>
      <c r="C153" s="17" t="s">
        <v>38</v>
      </c>
      <c r="D153" s="17">
        <v>30.91</v>
      </c>
      <c r="E153" s="17">
        <v>207</v>
      </c>
      <c r="F153" s="17">
        <v>2</v>
      </c>
      <c r="G153" s="17">
        <v>0</v>
      </c>
      <c r="H153" s="17">
        <v>0</v>
      </c>
      <c r="I153" s="17">
        <v>1</v>
      </c>
      <c r="J153" s="17">
        <v>30.91</v>
      </c>
      <c r="K153" s="17">
        <v>1</v>
      </c>
      <c r="L153" s="17">
        <v>30.91</v>
      </c>
      <c r="M153" s="17">
        <v>0</v>
      </c>
    </row>
    <row r="154" s="17" customFormat="1" spans="1:13">
      <c r="A154" s="17" t="s">
        <v>366</v>
      </c>
      <c r="B154" s="17" t="s">
        <v>37</v>
      </c>
      <c r="C154" s="17" t="s">
        <v>38</v>
      </c>
      <c r="D154" s="17">
        <v>46.16</v>
      </c>
      <c r="E154" s="17">
        <v>286</v>
      </c>
      <c r="F154" s="17">
        <v>3</v>
      </c>
      <c r="G154" s="17">
        <v>1</v>
      </c>
      <c r="H154" s="17">
        <v>46.16</v>
      </c>
      <c r="I154" s="17">
        <v>2</v>
      </c>
      <c r="J154" s="17">
        <v>23.08</v>
      </c>
      <c r="K154" s="17">
        <v>2</v>
      </c>
      <c r="L154" s="17">
        <v>23.08</v>
      </c>
      <c r="M154" s="17">
        <v>60</v>
      </c>
    </row>
    <row r="155" s="17" customFormat="1" spans="1:13">
      <c r="A155" s="17" t="s">
        <v>367</v>
      </c>
      <c r="B155" s="17" t="s">
        <v>37</v>
      </c>
      <c r="C155" s="17" t="s">
        <v>38</v>
      </c>
      <c r="D155" s="17">
        <v>58.35</v>
      </c>
      <c r="E155" s="17">
        <v>443</v>
      </c>
      <c r="F155" s="17">
        <v>5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</row>
    <row r="156" s="17" customFormat="1" spans="1:13">
      <c r="A156" s="17" t="s">
        <v>368</v>
      </c>
      <c r="B156" s="17" t="s">
        <v>37</v>
      </c>
      <c r="C156" s="17" t="s">
        <v>38</v>
      </c>
      <c r="D156" s="17">
        <v>62.47</v>
      </c>
      <c r="E156" s="17">
        <v>480</v>
      </c>
      <c r="F156" s="17">
        <v>2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</row>
    <row r="157" s="17" customFormat="1" spans="1:13">
      <c r="A157" s="17" t="s">
        <v>369</v>
      </c>
      <c r="B157" s="17" t="s">
        <v>37</v>
      </c>
      <c r="C157" s="17" t="s">
        <v>38</v>
      </c>
      <c r="D157" s="17">
        <v>71.9</v>
      </c>
      <c r="E157" s="17">
        <v>545</v>
      </c>
      <c r="F157" s="17">
        <v>9</v>
      </c>
      <c r="G157" s="17">
        <v>1</v>
      </c>
      <c r="H157" s="17">
        <v>71.9</v>
      </c>
      <c r="I157" s="17">
        <v>4</v>
      </c>
      <c r="J157" s="17">
        <v>17.98</v>
      </c>
      <c r="K157" s="17">
        <v>4</v>
      </c>
      <c r="L157" s="17">
        <v>17.98</v>
      </c>
      <c r="M157" s="17">
        <v>88</v>
      </c>
    </row>
    <row r="158" s="17" customFormat="1" spans="1:13">
      <c r="A158" s="17" t="s">
        <v>370</v>
      </c>
      <c r="B158" s="17" t="s">
        <v>37</v>
      </c>
      <c r="C158" s="17" t="s">
        <v>38</v>
      </c>
      <c r="D158" s="17">
        <v>77.58</v>
      </c>
      <c r="E158" s="17">
        <v>536</v>
      </c>
      <c r="F158" s="17">
        <v>8</v>
      </c>
      <c r="G158" s="17">
        <v>1</v>
      </c>
      <c r="H158" s="17">
        <v>77.58</v>
      </c>
      <c r="I158" s="17">
        <v>3</v>
      </c>
      <c r="J158" s="17">
        <v>25.86</v>
      </c>
      <c r="K158" s="17">
        <v>4</v>
      </c>
      <c r="L158" s="17">
        <v>19.4</v>
      </c>
      <c r="M158" s="17">
        <v>30</v>
      </c>
    </row>
    <row r="159" s="17" customFormat="1" spans="1:13">
      <c r="A159" s="17" t="s">
        <v>371</v>
      </c>
      <c r="B159" s="17" t="s">
        <v>37</v>
      </c>
      <c r="C159" s="17" t="s">
        <v>38</v>
      </c>
      <c r="D159" s="17">
        <v>2.13</v>
      </c>
      <c r="E159" s="17">
        <v>56</v>
      </c>
      <c r="F159" s="17">
        <v>0</v>
      </c>
      <c r="G159" s="17">
        <v>1</v>
      </c>
      <c r="H159" s="17">
        <v>2.13</v>
      </c>
      <c r="I159" s="17">
        <v>0</v>
      </c>
      <c r="J159" s="17">
        <v>0</v>
      </c>
      <c r="K159" s="17">
        <v>0</v>
      </c>
      <c r="L159" s="17">
        <v>0</v>
      </c>
      <c r="M159" s="17">
        <v>30</v>
      </c>
    </row>
    <row r="160" s="17" customFormat="1" spans="1:13">
      <c r="A160" s="17" t="s">
        <v>372</v>
      </c>
      <c r="B160" s="17" t="s">
        <v>37</v>
      </c>
      <c r="C160" s="17" t="s">
        <v>38</v>
      </c>
      <c r="D160" s="17">
        <v>0</v>
      </c>
      <c r="E160" s="17">
        <v>15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</row>
    <row r="161" s="17" customFormat="1" spans="1:13">
      <c r="A161" s="17" t="s">
        <v>373</v>
      </c>
      <c r="B161" s="17" t="s">
        <v>37</v>
      </c>
      <c r="C161" s="17" t="s">
        <v>38</v>
      </c>
      <c r="D161" s="17">
        <v>14.48</v>
      </c>
      <c r="E161" s="17">
        <v>83</v>
      </c>
      <c r="F161" s="17">
        <v>2</v>
      </c>
      <c r="G161" s="17">
        <v>0</v>
      </c>
      <c r="H161" s="17">
        <v>0</v>
      </c>
      <c r="I161" s="17">
        <v>1</v>
      </c>
      <c r="J161" s="17">
        <v>14.48</v>
      </c>
      <c r="K161" s="17">
        <v>1</v>
      </c>
      <c r="L161" s="17">
        <v>14.48</v>
      </c>
      <c r="M161" s="17">
        <v>0</v>
      </c>
    </row>
    <row r="162" s="17" customFormat="1" spans="1:13">
      <c r="A162" s="17" t="s">
        <v>374</v>
      </c>
      <c r="B162" s="17" t="s">
        <v>37</v>
      </c>
      <c r="C162" s="17" t="s">
        <v>38</v>
      </c>
      <c r="D162" s="17">
        <v>112.71</v>
      </c>
      <c r="E162" s="17">
        <v>693</v>
      </c>
      <c r="F162" s="17">
        <v>4</v>
      </c>
      <c r="G162" s="17">
        <v>1</v>
      </c>
      <c r="H162" s="17">
        <v>112.71</v>
      </c>
      <c r="I162" s="17">
        <v>1</v>
      </c>
      <c r="J162" s="17">
        <v>112.71</v>
      </c>
      <c r="K162" s="17">
        <v>1</v>
      </c>
      <c r="L162" s="17">
        <v>112.71</v>
      </c>
      <c r="M162" s="17">
        <v>30</v>
      </c>
    </row>
    <row r="163" s="17" customFormat="1" spans="1:13">
      <c r="A163" s="17" t="s">
        <v>375</v>
      </c>
      <c r="B163" s="17" t="s">
        <v>37</v>
      </c>
      <c r="C163" s="17" t="s">
        <v>38</v>
      </c>
      <c r="D163" s="17">
        <v>97.14</v>
      </c>
      <c r="E163" s="17">
        <v>741</v>
      </c>
      <c r="F163" s="17">
        <v>10</v>
      </c>
      <c r="G163" s="17">
        <v>2</v>
      </c>
      <c r="H163" s="17">
        <v>48.57</v>
      </c>
      <c r="I163" s="17">
        <v>3</v>
      </c>
      <c r="J163" s="17">
        <v>32.38</v>
      </c>
      <c r="K163" s="17">
        <v>3</v>
      </c>
      <c r="L163" s="17">
        <v>32.38</v>
      </c>
      <c r="M163" s="17">
        <v>69.8</v>
      </c>
    </row>
    <row r="164" s="17" customFormat="1" spans="1:13">
      <c r="A164" s="17" t="s">
        <v>376</v>
      </c>
      <c r="B164" s="17" t="s">
        <v>37</v>
      </c>
      <c r="C164" s="17" t="s">
        <v>38</v>
      </c>
      <c r="D164" s="17">
        <v>118.62</v>
      </c>
      <c r="E164" s="17">
        <v>829</v>
      </c>
      <c r="F164" s="17">
        <v>3</v>
      </c>
      <c r="G164" s="17">
        <v>2</v>
      </c>
      <c r="H164" s="17">
        <v>59.31</v>
      </c>
      <c r="I164" s="17">
        <v>2</v>
      </c>
      <c r="J164" s="17">
        <v>59.31</v>
      </c>
      <c r="K164" s="17">
        <v>2</v>
      </c>
      <c r="L164" s="17">
        <v>59.31</v>
      </c>
      <c r="M164" s="17">
        <v>60</v>
      </c>
    </row>
    <row r="165" s="17" customFormat="1" spans="1:13">
      <c r="A165" s="17" t="s">
        <v>377</v>
      </c>
      <c r="B165" s="17" t="s">
        <v>37</v>
      </c>
      <c r="C165" s="17" t="s">
        <v>38</v>
      </c>
      <c r="D165" s="17">
        <v>229.15</v>
      </c>
      <c r="E165" s="17">
        <v>1897</v>
      </c>
      <c r="F165" s="17">
        <v>17</v>
      </c>
      <c r="G165" s="17">
        <v>0</v>
      </c>
      <c r="H165" s="17">
        <v>0</v>
      </c>
      <c r="I165" s="17">
        <v>4</v>
      </c>
      <c r="J165" s="17">
        <v>57.29</v>
      </c>
      <c r="K165" s="17">
        <v>4</v>
      </c>
      <c r="L165" s="17">
        <v>57.29</v>
      </c>
      <c r="M165" s="17">
        <v>0</v>
      </c>
    </row>
    <row r="166" s="17" customFormat="1" spans="1:13">
      <c r="A166" s="17" t="s">
        <v>378</v>
      </c>
      <c r="B166" s="17" t="s">
        <v>37</v>
      </c>
      <c r="C166" s="17" t="s">
        <v>38</v>
      </c>
      <c r="D166" s="17">
        <v>202.68</v>
      </c>
      <c r="E166" s="17">
        <v>1761</v>
      </c>
      <c r="F166" s="17">
        <v>14</v>
      </c>
      <c r="G166" s="17">
        <v>0</v>
      </c>
      <c r="H166" s="17">
        <v>0</v>
      </c>
      <c r="I166" s="17">
        <v>1</v>
      </c>
      <c r="J166" s="17">
        <v>202.68</v>
      </c>
      <c r="K166" s="17">
        <v>1</v>
      </c>
      <c r="L166" s="17">
        <v>202.68</v>
      </c>
      <c r="M166" s="17">
        <v>0</v>
      </c>
    </row>
    <row r="167" s="17" customFormat="1" spans="1:13">
      <c r="A167" s="17" t="s">
        <v>379</v>
      </c>
      <c r="B167" s="17" t="s">
        <v>37</v>
      </c>
      <c r="C167" s="17" t="s">
        <v>38</v>
      </c>
      <c r="D167" s="17">
        <v>176.77</v>
      </c>
      <c r="E167" s="17">
        <v>1684</v>
      </c>
      <c r="F167" s="17">
        <v>18</v>
      </c>
      <c r="G167" s="17">
        <v>0</v>
      </c>
      <c r="H167" s="17">
        <v>0</v>
      </c>
      <c r="I167" s="17">
        <v>7</v>
      </c>
      <c r="J167" s="17">
        <v>25.25</v>
      </c>
      <c r="K167" s="17">
        <v>8</v>
      </c>
      <c r="L167" s="17">
        <v>22.1</v>
      </c>
      <c r="M167" s="17">
        <v>0</v>
      </c>
    </row>
    <row r="168" s="17" customFormat="1" spans="1:13">
      <c r="A168" s="17" t="s">
        <v>380</v>
      </c>
      <c r="B168" s="17" t="s">
        <v>37</v>
      </c>
      <c r="C168" s="17" t="s">
        <v>38</v>
      </c>
      <c r="D168" s="17">
        <v>161</v>
      </c>
      <c r="E168" s="17">
        <v>1398</v>
      </c>
      <c r="F168" s="17">
        <v>10</v>
      </c>
      <c r="G168" s="17">
        <v>0</v>
      </c>
      <c r="H168" s="17">
        <v>0</v>
      </c>
      <c r="I168" s="17">
        <v>3</v>
      </c>
      <c r="J168" s="17">
        <v>53.67</v>
      </c>
      <c r="K168" s="17">
        <v>3</v>
      </c>
      <c r="L168" s="17">
        <v>53.67</v>
      </c>
      <c r="M168" s="17">
        <v>0</v>
      </c>
    </row>
    <row r="169" s="17" customFormat="1" spans="1:13">
      <c r="A169" s="17" t="s">
        <v>381</v>
      </c>
      <c r="B169" s="17" t="s">
        <v>37</v>
      </c>
      <c r="C169" s="17" t="s">
        <v>38</v>
      </c>
      <c r="D169" s="17">
        <v>102.59</v>
      </c>
      <c r="E169" s="17">
        <v>721</v>
      </c>
      <c r="F169" s="17">
        <v>7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</row>
    <row r="170" s="17" customFormat="1" spans="1:13">
      <c r="A170" s="17" t="s">
        <v>229</v>
      </c>
      <c r="B170" s="17" t="s">
        <v>382</v>
      </c>
      <c r="C170" s="17" t="s">
        <v>383</v>
      </c>
      <c r="D170" s="17">
        <v>0</v>
      </c>
      <c r="E170" s="17">
        <v>0</v>
      </c>
      <c r="F170" s="17">
        <v>0</v>
      </c>
      <c r="G170" s="17">
        <v>0</v>
      </c>
      <c r="H170" s="17">
        <v>0</v>
      </c>
      <c r="I170" s="17">
        <v>0</v>
      </c>
      <c r="J170" s="17">
        <v>0</v>
      </c>
      <c r="K170" s="17">
        <v>0</v>
      </c>
      <c r="L170" s="17">
        <v>0</v>
      </c>
      <c r="M170" s="17">
        <v>0</v>
      </c>
    </row>
    <row r="171" s="17" customFormat="1" spans="1:13">
      <c r="A171" s="17" t="s">
        <v>224</v>
      </c>
      <c r="B171" s="17" t="s">
        <v>384</v>
      </c>
      <c r="C171" s="17" t="s">
        <v>385</v>
      </c>
      <c r="D171" s="17">
        <v>0</v>
      </c>
      <c r="E171" s="17">
        <v>0</v>
      </c>
      <c r="F171" s="17">
        <v>0</v>
      </c>
      <c r="G171" s="17">
        <v>0</v>
      </c>
      <c r="H171" s="17">
        <v>0</v>
      </c>
      <c r="I171" s="17">
        <v>0</v>
      </c>
      <c r="J171" s="17">
        <v>0</v>
      </c>
      <c r="K171" s="17">
        <v>0</v>
      </c>
      <c r="L171" s="17">
        <v>0</v>
      </c>
      <c r="M171" s="17">
        <v>0</v>
      </c>
    </row>
    <row r="172" s="17" customFormat="1" spans="1:13">
      <c r="A172" s="17" t="s">
        <v>234</v>
      </c>
      <c r="B172" s="17" t="s">
        <v>384</v>
      </c>
      <c r="C172" s="17" t="s">
        <v>385</v>
      </c>
      <c r="D172" s="17">
        <v>0</v>
      </c>
      <c r="E172" s="17">
        <v>0</v>
      </c>
      <c r="F172" s="17">
        <v>0</v>
      </c>
      <c r="G172" s="17">
        <v>0</v>
      </c>
      <c r="H172" s="17">
        <v>0</v>
      </c>
      <c r="I172" s="17">
        <v>0</v>
      </c>
      <c r="J172" s="17">
        <v>0</v>
      </c>
      <c r="K172" s="17">
        <v>0</v>
      </c>
      <c r="L172" s="17">
        <v>0</v>
      </c>
      <c r="M172" s="17">
        <v>0</v>
      </c>
    </row>
    <row r="173" s="17" customFormat="1" spans="1:13">
      <c r="A173" s="17" t="s">
        <v>247</v>
      </c>
      <c r="B173" s="17" t="s">
        <v>384</v>
      </c>
      <c r="C173" s="17" t="s">
        <v>385</v>
      </c>
      <c r="D173" s="17">
        <v>0</v>
      </c>
      <c r="E173" s="17">
        <v>0</v>
      </c>
      <c r="F173" s="17">
        <v>0</v>
      </c>
      <c r="G173" s="17">
        <v>0</v>
      </c>
      <c r="H173" s="17">
        <v>0</v>
      </c>
      <c r="I173" s="17">
        <v>0</v>
      </c>
      <c r="J173" s="17">
        <v>0</v>
      </c>
      <c r="K173" s="17">
        <v>0</v>
      </c>
      <c r="L173" s="17">
        <v>0</v>
      </c>
      <c r="M173" s="17">
        <v>0</v>
      </c>
    </row>
    <row r="174" s="17" customFormat="1" spans="1:13">
      <c r="A174" s="17" t="s">
        <v>214</v>
      </c>
      <c r="B174" s="17" t="s">
        <v>206</v>
      </c>
      <c r="C174" s="17" t="s">
        <v>207</v>
      </c>
      <c r="D174" s="17">
        <v>102.18</v>
      </c>
      <c r="E174" s="17">
        <v>1043</v>
      </c>
      <c r="F174" s="17">
        <v>12</v>
      </c>
      <c r="G174" s="17">
        <v>1</v>
      </c>
      <c r="H174" s="17">
        <v>102.18</v>
      </c>
      <c r="I174" s="17">
        <v>6</v>
      </c>
      <c r="J174" s="17">
        <v>17.03</v>
      </c>
      <c r="K174" s="17">
        <v>7</v>
      </c>
      <c r="L174" s="17">
        <v>14.6</v>
      </c>
      <c r="M174" s="17">
        <v>6</v>
      </c>
    </row>
    <row r="175" s="17" customFormat="1" spans="1:13">
      <c r="A175" s="17" t="s">
        <v>215</v>
      </c>
      <c r="B175" s="17" t="s">
        <v>206</v>
      </c>
      <c r="C175" s="17" t="s">
        <v>207</v>
      </c>
      <c r="D175" s="17">
        <v>42.07</v>
      </c>
      <c r="E175" s="17">
        <v>543</v>
      </c>
      <c r="F175" s="17">
        <v>7</v>
      </c>
      <c r="G175" s="17">
        <v>0</v>
      </c>
      <c r="H175" s="17">
        <v>0</v>
      </c>
      <c r="I175" s="17">
        <v>2</v>
      </c>
      <c r="J175" s="17">
        <v>21.04</v>
      </c>
      <c r="K175" s="17">
        <v>2</v>
      </c>
      <c r="L175" s="17">
        <v>21.04</v>
      </c>
      <c r="M175" s="17">
        <v>0</v>
      </c>
    </row>
    <row r="176" s="17" customFormat="1" spans="1:13">
      <c r="A176" s="17" t="s">
        <v>216</v>
      </c>
      <c r="B176" s="17" t="s">
        <v>206</v>
      </c>
      <c r="C176" s="17" t="s">
        <v>207</v>
      </c>
      <c r="D176" s="17">
        <v>52.1</v>
      </c>
      <c r="E176" s="17">
        <v>485</v>
      </c>
      <c r="F176" s="17">
        <v>10</v>
      </c>
      <c r="G176" s="17">
        <v>0</v>
      </c>
      <c r="H176" s="17">
        <v>0</v>
      </c>
      <c r="I176" s="17">
        <v>3</v>
      </c>
      <c r="J176" s="17">
        <v>17.37</v>
      </c>
      <c r="K176" s="17">
        <v>3</v>
      </c>
      <c r="L176" s="17">
        <v>17.37</v>
      </c>
      <c r="M176" s="17">
        <v>0</v>
      </c>
    </row>
    <row r="177" s="17" customFormat="1" spans="1:13">
      <c r="A177" s="17" t="s">
        <v>217</v>
      </c>
      <c r="B177" s="17" t="s">
        <v>206</v>
      </c>
      <c r="C177" s="17" t="s">
        <v>207</v>
      </c>
      <c r="D177" s="17">
        <v>37.79</v>
      </c>
      <c r="E177" s="17">
        <v>460</v>
      </c>
      <c r="F177" s="17">
        <v>10</v>
      </c>
      <c r="G177" s="17">
        <v>0</v>
      </c>
      <c r="H177" s="17">
        <v>0</v>
      </c>
      <c r="I177" s="17">
        <v>4</v>
      </c>
      <c r="J177" s="17">
        <v>9.45</v>
      </c>
      <c r="K177" s="17">
        <v>4</v>
      </c>
      <c r="L177" s="17">
        <v>9.45</v>
      </c>
      <c r="M177" s="17">
        <v>0</v>
      </c>
    </row>
    <row r="178" s="17" customFormat="1" spans="1:13">
      <c r="A178" s="17" t="s">
        <v>218</v>
      </c>
      <c r="B178" s="17" t="s">
        <v>206</v>
      </c>
      <c r="C178" s="17" t="s">
        <v>207</v>
      </c>
      <c r="D178" s="17">
        <v>47.14</v>
      </c>
      <c r="E178" s="17">
        <v>626</v>
      </c>
      <c r="F178" s="17">
        <v>19</v>
      </c>
      <c r="G178" s="17">
        <v>0</v>
      </c>
      <c r="H178" s="17">
        <v>0</v>
      </c>
      <c r="I178" s="17">
        <v>3</v>
      </c>
      <c r="J178" s="17">
        <v>15.71</v>
      </c>
      <c r="K178" s="17">
        <v>3</v>
      </c>
      <c r="L178" s="17">
        <v>15.71</v>
      </c>
      <c r="M178" s="17">
        <v>0</v>
      </c>
    </row>
    <row r="179" s="17" customFormat="1" spans="1:13">
      <c r="A179" s="17" t="s">
        <v>219</v>
      </c>
      <c r="B179" s="17" t="s">
        <v>206</v>
      </c>
      <c r="C179" s="17" t="s">
        <v>207</v>
      </c>
      <c r="D179" s="17">
        <v>79.5</v>
      </c>
      <c r="E179" s="17">
        <v>942</v>
      </c>
      <c r="F179" s="17">
        <v>21</v>
      </c>
      <c r="G179" s="17">
        <v>0</v>
      </c>
      <c r="H179" s="17">
        <v>0</v>
      </c>
      <c r="I179" s="17">
        <v>3</v>
      </c>
      <c r="J179" s="17">
        <v>26.5</v>
      </c>
      <c r="K179" s="17">
        <v>3</v>
      </c>
      <c r="L179" s="17">
        <v>26.5</v>
      </c>
      <c r="M179" s="17">
        <v>0</v>
      </c>
    </row>
    <row r="180" s="17" customFormat="1" spans="1:13">
      <c r="A180" s="17" t="s">
        <v>220</v>
      </c>
      <c r="B180" s="17" t="s">
        <v>206</v>
      </c>
      <c r="C180" s="17" t="s">
        <v>207</v>
      </c>
      <c r="D180" s="17">
        <v>73.49</v>
      </c>
      <c r="E180" s="17">
        <v>948</v>
      </c>
      <c r="F180" s="17">
        <v>9</v>
      </c>
      <c r="G180" s="17">
        <v>0</v>
      </c>
      <c r="H180" s="17">
        <v>0</v>
      </c>
      <c r="I180" s="17">
        <v>2</v>
      </c>
      <c r="J180" s="17">
        <v>36.75</v>
      </c>
      <c r="K180" s="17">
        <v>2</v>
      </c>
      <c r="L180" s="17">
        <v>36.75</v>
      </c>
      <c r="M180" s="17">
        <v>0</v>
      </c>
    </row>
    <row r="181" s="17" customFormat="1" spans="1:13">
      <c r="A181" s="17" t="s">
        <v>221</v>
      </c>
      <c r="B181" s="17" t="s">
        <v>206</v>
      </c>
      <c r="C181" s="17" t="s">
        <v>207</v>
      </c>
      <c r="D181" s="17">
        <v>48.9</v>
      </c>
      <c r="E181" s="17">
        <v>794</v>
      </c>
      <c r="F181" s="17">
        <v>11</v>
      </c>
      <c r="G181" s="17">
        <v>1</v>
      </c>
      <c r="H181" s="17">
        <v>48.9</v>
      </c>
      <c r="I181" s="17">
        <v>4</v>
      </c>
      <c r="J181" s="17">
        <v>12.23</v>
      </c>
      <c r="K181" s="17">
        <v>4</v>
      </c>
      <c r="L181" s="17">
        <v>12.23</v>
      </c>
      <c r="M181" s="17">
        <v>30</v>
      </c>
    </row>
    <row r="182" s="17" customFormat="1" spans="1:13">
      <c r="A182" s="17" t="s">
        <v>222</v>
      </c>
      <c r="B182" s="17" t="s">
        <v>206</v>
      </c>
      <c r="C182" s="17" t="s">
        <v>207</v>
      </c>
      <c r="D182" s="17">
        <v>43.19</v>
      </c>
      <c r="E182" s="17">
        <v>588</v>
      </c>
      <c r="F182" s="17">
        <v>7</v>
      </c>
      <c r="G182" s="17">
        <v>2</v>
      </c>
      <c r="H182" s="17">
        <v>21.6</v>
      </c>
      <c r="I182" s="17">
        <v>3</v>
      </c>
      <c r="J182" s="17">
        <v>14.4</v>
      </c>
      <c r="K182" s="17">
        <v>3</v>
      </c>
      <c r="L182" s="17">
        <v>14.4</v>
      </c>
      <c r="M182" s="17">
        <v>69.9</v>
      </c>
    </row>
    <row r="183" s="17" customFormat="1" spans="1:13">
      <c r="A183" s="17" t="s">
        <v>223</v>
      </c>
      <c r="B183" s="17" t="s">
        <v>206</v>
      </c>
      <c r="C183" s="17" t="s">
        <v>207</v>
      </c>
      <c r="D183" s="17">
        <v>33.93</v>
      </c>
      <c r="E183" s="17">
        <v>431</v>
      </c>
      <c r="F183" s="17">
        <v>16</v>
      </c>
      <c r="G183" s="17">
        <v>0</v>
      </c>
      <c r="H183" s="17">
        <v>0</v>
      </c>
      <c r="I183" s="17">
        <v>3</v>
      </c>
      <c r="J183" s="17">
        <v>11.31</v>
      </c>
      <c r="K183" s="17">
        <v>3</v>
      </c>
      <c r="L183" s="17">
        <v>11.31</v>
      </c>
      <c r="M183" s="17">
        <v>0</v>
      </c>
    </row>
    <row r="184" s="17" customFormat="1" spans="1:13">
      <c r="A184" s="17" t="s">
        <v>224</v>
      </c>
      <c r="B184" s="17" t="s">
        <v>206</v>
      </c>
      <c r="C184" s="17" t="s">
        <v>207</v>
      </c>
      <c r="D184" s="17">
        <v>43.67</v>
      </c>
      <c r="E184" s="17">
        <v>465</v>
      </c>
      <c r="F184" s="17">
        <v>9</v>
      </c>
      <c r="G184" s="17">
        <v>1</v>
      </c>
      <c r="H184" s="17">
        <v>43.67</v>
      </c>
      <c r="I184" s="17">
        <v>2</v>
      </c>
      <c r="J184" s="17">
        <v>21.84</v>
      </c>
      <c r="K184" s="17">
        <v>2</v>
      </c>
      <c r="L184" s="17">
        <v>21.84</v>
      </c>
      <c r="M184" s="17">
        <v>6</v>
      </c>
    </row>
    <row r="185" s="17" customFormat="1" spans="1:13">
      <c r="A185" s="17" t="s">
        <v>225</v>
      </c>
      <c r="B185" s="17" t="s">
        <v>206</v>
      </c>
      <c r="C185" s="17" t="s">
        <v>207</v>
      </c>
      <c r="D185" s="17">
        <v>46.92</v>
      </c>
      <c r="E185" s="17">
        <v>644</v>
      </c>
      <c r="F185" s="17">
        <v>15</v>
      </c>
      <c r="G185" s="17">
        <v>0</v>
      </c>
      <c r="H185" s="17">
        <v>0</v>
      </c>
      <c r="I185" s="17">
        <v>4</v>
      </c>
      <c r="J185" s="17">
        <v>11.73</v>
      </c>
      <c r="K185" s="17">
        <v>4</v>
      </c>
      <c r="L185" s="17">
        <v>11.73</v>
      </c>
      <c r="M185" s="17">
        <v>0</v>
      </c>
    </row>
    <row r="186" s="17" customFormat="1" spans="1:13">
      <c r="A186" s="17" t="s">
        <v>226</v>
      </c>
      <c r="B186" s="17" t="s">
        <v>206</v>
      </c>
      <c r="C186" s="17" t="s">
        <v>207</v>
      </c>
      <c r="D186" s="17">
        <v>86.47</v>
      </c>
      <c r="E186" s="17">
        <v>886</v>
      </c>
      <c r="F186" s="17">
        <v>18</v>
      </c>
      <c r="G186" s="17">
        <v>0</v>
      </c>
      <c r="H186" s="17">
        <v>0</v>
      </c>
      <c r="I186" s="17">
        <v>5</v>
      </c>
      <c r="J186" s="17">
        <v>17.29</v>
      </c>
      <c r="K186" s="17">
        <v>6</v>
      </c>
      <c r="L186" s="17">
        <v>14.41</v>
      </c>
      <c r="M186" s="17">
        <v>88</v>
      </c>
    </row>
    <row r="187" s="17" customFormat="1" spans="1:13">
      <c r="A187" s="17" t="s">
        <v>227</v>
      </c>
      <c r="B187" s="17" t="s">
        <v>206</v>
      </c>
      <c r="C187" s="17" t="s">
        <v>207</v>
      </c>
      <c r="D187" s="17">
        <v>103.17</v>
      </c>
      <c r="E187" s="17">
        <v>982</v>
      </c>
      <c r="F187" s="17">
        <v>24</v>
      </c>
      <c r="G187" s="17">
        <v>0</v>
      </c>
      <c r="H187" s="17">
        <v>0</v>
      </c>
      <c r="I187" s="17">
        <v>7</v>
      </c>
      <c r="J187" s="17">
        <v>14.74</v>
      </c>
      <c r="K187" s="17">
        <v>7</v>
      </c>
      <c r="L187" s="17">
        <v>14.74</v>
      </c>
      <c r="M187" s="17">
        <v>0</v>
      </c>
    </row>
    <row r="188" s="17" customFormat="1" spans="1:13">
      <c r="A188" s="17" t="s">
        <v>228</v>
      </c>
      <c r="B188" s="17" t="s">
        <v>206</v>
      </c>
      <c r="C188" s="17" t="s">
        <v>207</v>
      </c>
      <c r="D188" s="17">
        <v>123.6</v>
      </c>
      <c r="E188" s="17">
        <v>1225</v>
      </c>
      <c r="F188" s="17">
        <v>15</v>
      </c>
      <c r="G188" s="17">
        <v>0</v>
      </c>
      <c r="H188" s="17">
        <v>0</v>
      </c>
      <c r="I188" s="17">
        <v>4</v>
      </c>
      <c r="J188" s="17">
        <v>30.9</v>
      </c>
      <c r="K188" s="17">
        <v>4</v>
      </c>
      <c r="L188" s="17">
        <v>30.9</v>
      </c>
      <c r="M188" s="17">
        <v>0</v>
      </c>
    </row>
    <row r="189" s="17" customFormat="1" spans="1:13">
      <c r="A189" s="17" t="s">
        <v>229</v>
      </c>
      <c r="B189" s="17" t="s">
        <v>206</v>
      </c>
      <c r="C189" s="17" t="s">
        <v>207</v>
      </c>
      <c r="D189" s="17">
        <v>63.98</v>
      </c>
      <c r="E189" s="17">
        <v>835</v>
      </c>
      <c r="F189" s="17">
        <v>17</v>
      </c>
      <c r="G189" s="17">
        <v>0</v>
      </c>
      <c r="H189" s="17">
        <v>0</v>
      </c>
      <c r="I189" s="17">
        <v>3</v>
      </c>
      <c r="J189" s="17">
        <v>21.33</v>
      </c>
      <c r="K189" s="17">
        <v>3</v>
      </c>
      <c r="L189" s="17">
        <v>21.33</v>
      </c>
      <c r="M189" s="17">
        <v>0</v>
      </c>
    </row>
    <row r="190" s="17" customFormat="1" spans="1:13">
      <c r="A190" s="17" t="s">
        <v>230</v>
      </c>
      <c r="B190" s="17" t="s">
        <v>206</v>
      </c>
      <c r="C190" s="17" t="s">
        <v>207</v>
      </c>
      <c r="D190" s="17">
        <v>72.55</v>
      </c>
      <c r="E190" s="17">
        <v>802</v>
      </c>
      <c r="F190" s="17">
        <v>14</v>
      </c>
      <c r="G190" s="17">
        <v>0</v>
      </c>
      <c r="H190" s="17">
        <v>0</v>
      </c>
      <c r="I190" s="17">
        <v>3</v>
      </c>
      <c r="J190" s="17">
        <v>24.18</v>
      </c>
      <c r="K190" s="17">
        <v>3</v>
      </c>
      <c r="L190" s="17">
        <v>24.18</v>
      </c>
      <c r="M190" s="17">
        <v>0</v>
      </c>
    </row>
    <row r="191" s="17" customFormat="1" spans="1:13">
      <c r="A191" s="17" t="s">
        <v>231</v>
      </c>
      <c r="B191" s="17" t="s">
        <v>206</v>
      </c>
      <c r="C191" s="17" t="s">
        <v>207</v>
      </c>
      <c r="D191" s="17">
        <v>38.74</v>
      </c>
      <c r="E191" s="17">
        <v>610</v>
      </c>
      <c r="F191" s="17">
        <v>13</v>
      </c>
      <c r="G191" s="17">
        <v>0</v>
      </c>
      <c r="H191" s="17">
        <v>0</v>
      </c>
      <c r="I191" s="17">
        <v>2</v>
      </c>
      <c r="J191" s="17">
        <v>19.37</v>
      </c>
      <c r="K191" s="17">
        <v>2</v>
      </c>
      <c r="L191" s="17">
        <v>19.37</v>
      </c>
      <c r="M191" s="17">
        <v>0</v>
      </c>
    </row>
    <row r="192" s="17" customFormat="1" spans="1:13">
      <c r="A192" s="17" t="s">
        <v>232</v>
      </c>
      <c r="B192" s="17" t="s">
        <v>206</v>
      </c>
      <c r="C192" s="17" t="s">
        <v>207</v>
      </c>
      <c r="D192" s="17">
        <v>45.65</v>
      </c>
      <c r="E192" s="17">
        <v>710</v>
      </c>
      <c r="F192" s="17">
        <v>8</v>
      </c>
      <c r="G192" s="17">
        <v>0</v>
      </c>
      <c r="H192" s="17">
        <v>0</v>
      </c>
      <c r="I192" s="17">
        <v>2</v>
      </c>
      <c r="J192" s="17">
        <v>22.83</v>
      </c>
      <c r="K192" s="17">
        <v>2</v>
      </c>
      <c r="L192" s="17">
        <v>22.83</v>
      </c>
      <c r="M192" s="17">
        <v>0</v>
      </c>
    </row>
    <row r="193" s="17" customFormat="1" spans="1:13">
      <c r="A193" s="17" t="s">
        <v>233</v>
      </c>
      <c r="B193" s="17" t="s">
        <v>206</v>
      </c>
      <c r="C193" s="17" t="s">
        <v>207</v>
      </c>
      <c r="D193" s="17">
        <v>57.28</v>
      </c>
      <c r="E193" s="17">
        <v>794</v>
      </c>
      <c r="F193" s="17">
        <v>10</v>
      </c>
      <c r="G193" s="17">
        <v>0</v>
      </c>
      <c r="H193" s="17">
        <v>0</v>
      </c>
      <c r="I193" s="17">
        <v>5</v>
      </c>
      <c r="J193" s="17">
        <v>11.46</v>
      </c>
      <c r="K193" s="17">
        <v>5</v>
      </c>
      <c r="L193" s="17">
        <v>11.46</v>
      </c>
      <c r="M193" s="17">
        <v>0</v>
      </c>
    </row>
    <row r="194" s="17" customFormat="1" spans="1:13">
      <c r="A194" s="17" t="s">
        <v>234</v>
      </c>
      <c r="B194" s="17" t="s">
        <v>206</v>
      </c>
      <c r="C194" s="17" t="s">
        <v>207</v>
      </c>
      <c r="D194" s="17">
        <v>33.43</v>
      </c>
      <c r="E194" s="17">
        <v>657</v>
      </c>
      <c r="F194" s="17">
        <v>10</v>
      </c>
      <c r="G194" s="17">
        <v>0</v>
      </c>
      <c r="H194" s="17">
        <v>0</v>
      </c>
      <c r="I194" s="17">
        <v>1</v>
      </c>
      <c r="J194" s="17">
        <v>33.43</v>
      </c>
      <c r="K194" s="17">
        <v>1</v>
      </c>
      <c r="L194" s="17">
        <v>33.43</v>
      </c>
      <c r="M194" s="17">
        <v>0</v>
      </c>
    </row>
    <row r="195" s="17" customFormat="1" spans="1:13">
      <c r="A195" s="17" t="s">
        <v>235</v>
      </c>
      <c r="B195" s="17" t="s">
        <v>206</v>
      </c>
      <c r="C195" s="17" t="s">
        <v>207</v>
      </c>
      <c r="D195" s="17">
        <v>50.85</v>
      </c>
      <c r="E195" s="17">
        <v>827</v>
      </c>
      <c r="F195" s="17">
        <v>21</v>
      </c>
      <c r="G195" s="17">
        <v>1</v>
      </c>
      <c r="H195" s="17">
        <v>50.85</v>
      </c>
      <c r="I195" s="17">
        <v>4</v>
      </c>
      <c r="J195" s="17">
        <v>12.71</v>
      </c>
      <c r="K195" s="17">
        <v>4</v>
      </c>
      <c r="L195" s="17">
        <v>12.71</v>
      </c>
      <c r="M195" s="17">
        <v>168</v>
      </c>
    </row>
    <row r="196" s="17" customFormat="1" spans="1:13">
      <c r="A196" s="17" t="s">
        <v>236</v>
      </c>
      <c r="B196" s="17" t="s">
        <v>206</v>
      </c>
      <c r="C196" s="17" t="s">
        <v>207</v>
      </c>
      <c r="D196" s="17">
        <v>213.5</v>
      </c>
      <c r="E196" s="17">
        <v>1082</v>
      </c>
      <c r="F196" s="17">
        <v>29</v>
      </c>
      <c r="G196" s="17">
        <v>0</v>
      </c>
      <c r="H196" s="17">
        <v>0</v>
      </c>
      <c r="I196" s="17">
        <v>11</v>
      </c>
      <c r="J196" s="17">
        <v>19.41</v>
      </c>
      <c r="K196" s="17">
        <v>12</v>
      </c>
      <c r="L196" s="17">
        <v>17.79</v>
      </c>
      <c r="M196" s="17">
        <v>0</v>
      </c>
    </row>
    <row r="197" s="17" customFormat="1" spans="1:13">
      <c r="A197" s="17" t="s">
        <v>237</v>
      </c>
      <c r="B197" s="17" t="s">
        <v>206</v>
      </c>
      <c r="C197" s="17" t="s">
        <v>207</v>
      </c>
      <c r="D197" s="17">
        <v>408.3</v>
      </c>
      <c r="E197" s="17">
        <v>1836</v>
      </c>
      <c r="F197" s="17">
        <v>53</v>
      </c>
      <c r="G197" s="17">
        <v>0</v>
      </c>
      <c r="H197" s="17">
        <v>0</v>
      </c>
      <c r="I197" s="17">
        <v>23</v>
      </c>
      <c r="J197" s="17">
        <v>17.75</v>
      </c>
      <c r="K197" s="17">
        <v>27</v>
      </c>
      <c r="L197" s="17">
        <v>15.12</v>
      </c>
      <c r="M197" s="17">
        <v>0</v>
      </c>
    </row>
    <row r="198" s="17" customFormat="1" spans="1:13">
      <c r="A198" s="17" t="s">
        <v>238</v>
      </c>
      <c r="B198" s="17" t="s">
        <v>206</v>
      </c>
      <c r="C198" s="17" t="s">
        <v>207</v>
      </c>
      <c r="D198" s="17">
        <v>199.51</v>
      </c>
      <c r="E198" s="17">
        <v>2182</v>
      </c>
      <c r="F198" s="17">
        <v>33</v>
      </c>
      <c r="G198" s="17">
        <v>0</v>
      </c>
      <c r="H198" s="17">
        <v>0</v>
      </c>
      <c r="I198" s="17">
        <v>10</v>
      </c>
      <c r="J198" s="17">
        <v>19.95</v>
      </c>
      <c r="K198" s="17">
        <v>12</v>
      </c>
      <c r="L198" s="17">
        <v>16.63</v>
      </c>
      <c r="M198" s="17">
        <v>0</v>
      </c>
    </row>
    <row r="199" s="17" customFormat="1" spans="1:13">
      <c r="A199" s="17" t="s">
        <v>239</v>
      </c>
      <c r="B199" s="17" t="s">
        <v>206</v>
      </c>
      <c r="C199" s="17" t="s">
        <v>207</v>
      </c>
      <c r="D199" s="17">
        <v>121.48</v>
      </c>
      <c r="E199" s="17">
        <v>985</v>
      </c>
      <c r="F199" s="17">
        <v>24</v>
      </c>
      <c r="G199" s="17">
        <v>1</v>
      </c>
      <c r="H199" s="17">
        <v>121.48</v>
      </c>
      <c r="I199" s="17">
        <v>11</v>
      </c>
      <c r="J199" s="17">
        <v>11.04</v>
      </c>
      <c r="K199" s="17">
        <v>11</v>
      </c>
      <c r="L199" s="17">
        <v>11.04</v>
      </c>
      <c r="M199" s="17">
        <v>30</v>
      </c>
    </row>
    <row r="200" s="17" customFormat="1" spans="1:13">
      <c r="A200" s="17" t="s">
        <v>240</v>
      </c>
      <c r="B200" s="17" t="s">
        <v>206</v>
      </c>
      <c r="C200" s="17" t="s">
        <v>207</v>
      </c>
      <c r="D200" s="17">
        <v>126.42</v>
      </c>
      <c r="E200" s="17">
        <v>867</v>
      </c>
      <c r="F200" s="17">
        <v>21</v>
      </c>
      <c r="G200" s="17">
        <v>1</v>
      </c>
      <c r="H200" s="17">
        <v>126.42</v>
      </c>
      <c r="I200" s="17">
        <v>9</v>
      </c>
      <c r="J200" s="17">
        <v>14.05</v>
      </c>
      <c r="K200" s="17">
        <v>10</v>
      </c>
      <c r="L200" s="17">
        <v>12.64</v>
      </c>
      <c r="M200" s="17">
        <v>42</v>
      </c>
    </row>
    <row r="201" s="17" customFormat="1" spans="1:13">
      <c r="A201" s="17" t="s">
        <v>241</v>
      </c>
      <c r="B201" s="17" t="s">
        <v>206</v>
      </c>
      <c r="C201" s="17" t="s">
        <v>207</v>
      </c>
      <c r="D201" s="17">
        <v>203.7</v>
      </c>
      <c r="E201" s="17">
        <v>864</v>
      </c>
      <c r="F201" s="17">
        <v>32</v>
      </c>
      <c r="G201" s="17">
        <v>0</v>
      </c>
      <c r="H201" s="17">
        <v>0</v>
      </c>
      <c r="I201" s="17">
        <v>19</v>
      </c>
      <c r="J201" s="17">
        <v>10.72</v>
      </c>
      <c r="K201" s="17">
        <v>19</v>
      </c>
      <c r="L201" s="17">
        <v>10.72</v>
      </c>
      <c r="M201" s="17">
        <v>119.9</v>
      </c>
    </row>
    <row r="202" s="17" customFormat="1" spans="1:13">
      <c r="A202" s="17" t="s">
        <v>242</v>
      </c>
      <c r="B202" s="17" t="s">
        <v>206</v>
      </c>
      <c r="C202" s="17" t="s">
        <v>207</v>
      </c>
      <c r="D202" s="17">
        <v>189.67</v>
      </c>
      <c r="E202" s="17">
        <v>1007</v>
      </c>
      <c r="F202" s="17">
        <v>31</v>
      </c>
      <c r="G202" s="17">
        <v>1</v>
      </c>
      <c r="H202" s="17">
        <v>189.67</v>
      </c>
      <c r="I202" s="17">
        <v>10</v>
      </c>
      <c r="J202" s="17">
        <v>18.97</v>
      </c>
      <c r="K202" s="17">
        <v>12</v>
      </c>
      <c r="L202" s="17">
        <v>15.81</v>
      </c>
      <c r="M202" s="17">
        <v>6</v>
      </c>
    </row>
    <row r="203" s="17" customFormat="1" spans="1:13">
      <c r="A203" s="17" t="s">
        <v>243</v>
      </c>
      <c r="B203" s="17" t="s">
        <v>206</v>
      </c>
      <c r="C203" s="17" t="s">
        <v>207</v>
      </c>
      <c r="D203" s="17">
        <v>251.7</v>
      </c>
      <c r="E203" s="17">
        <v>1915</v>
      </c>
      <c r="F203" s="17">
        <v>52</v>
      </c>
      <c r="G203" s="17">
        <v>2</v>
      </c>
      <c r="H203" s="17">
        <v>125.85</v>
      </c>
      <c r="I203" s="17">
        <v>18</v>
      </c>
      <c r="J203" s="17">
        <v>13.98</v>
      </c>
      <c r="K203" s="17">
        <v>19</v>
      </c>
      <c r="L203" s="17">
        <v>13.25</v>
      </c>
      <c r="M203" s="17">
        <v>57.9</v>
      </c>
    </row>
    <row r="204" s="17" customFormat="1" spans="1:13">
      <c r="A204" s="17" t="s">
        <v>244</v>
      </c>
      <c r="B204" s="17" t="s">
        <v>206</v>
      </c>
      <c r="C204" s="17" t="s">
        <v>207</v>
      </c>
      <c r="D204" s="17">
        <v>452.69</v>
      </c>
      <c r="E204" s="17">
        <v>3671</v>
      </c>
      <c r="F204" s="17">
        <v>68</v>
      </c>
      <c r="G204" s="17">
        <v>0</v>
      </c>
      <c r="H204" s="17">
        <v>0</v>
      </c>
      <c r="I204" s="17">
        <v>27</v>
      </c>
      <c r="J204" s="17">
        <v>16.77</v>
      </c>
      <c r="K204" s="17">
        <v>30</v>
      </c>
      <c r="L204" s="17">
        <v>15.09</v>
      </c>
      <c r="M204" s="17">
        <v>0</v>
      </c>
    </row>
    <row r="205" s="17" customFormat="1" spans="1:13">
      <c r="A205" s="17" t="s">
        <v>245</v>
      </c>
      <c r="B205" s="17" t="s">
        <v>206</v>
      </c>
      <c r="C205" s="17" t="s">
        <v>207</v>
      </c>
      <c r="D205" s="17">
        <v>548.36</v>
      </c>
      <c r="E205" s="17">
        <v>4506</v>
      </c>
      <c r="F205" s="17">
        <v>93</v>
      </c>
      <c r="G205" s="17">
        <v>1</v>
      </c>
      <c r="H205" s="17">
        <v>548.36</v>
      </c>
      <c r="I205" s="17">
        <v>29</v>
      </c>
      <c r="J205" s="17">
        <v>18.91</v>
      </c>
      <c r="K205" s="17">
        <v>32</v>
      </c>
      <c r="L205" s="17">
        <v>17.14</v>
      </c>
      <c r="M205" s="17">
        <v>6</v>
      </c>
    </row>
    <row r="206" s="17" customFormat="1" spans="1:13">
      <c r="A206" s="17" t="s">
        <v>246</v>
      </c>
      <c r="B206" s="17" t="s">
        <v>206</v>
      </c>
      <c r="C206" s="17" t="s">
        <v>207</v>
      </c>
      <c r="D206" s="17">
        <v>559.44</v>
      </c>
      <c r="E206" s="17">
        <v>4743</v>
      </c>
      <c r="F206" s="17">
        <v>96</v>
      </c>
      <c r="G206" s="17">
        <v>1</v>
      </c>
      <c r="H206" s="17">
        <v>559.44</v>
      </c>
      <c r="I206" s="17">
        <v>30</v>
      </c>
      <c r="J206" s="17">
        <v>18.65</v>
      </c>
      <c r="K206" s="17">
        <v>36</v>
      </c>
      <c r="L206" s="17">
        <v>15.54</v>
      </c>
      <c r="M206" s="17">
        <v>30</v>
      </c>
    </row>
    <row r="207" s="17" customFormat="1" spans="1:13">
      <c r="A207" s="17" t="s">
        <v>247</v>
      </c>
      <c r="B207" s="17" t="s">
        <v>206</v>
      </c>
      <c r="C207" s="17" t="s">
        <v>207</v>
      </c>
      <c r="D207" s="17">
        <v>506.35</v>
      </c>
      <c r="E207" s="17">
        <v>5072</v>
      </c>
      <c r="F207" s="17">
        <v>101</v>
      </c>
      <c r="G207" s="17">
        <v>2</v>
      </c>
      <c r="H207" s="17">
        <v>253.18</v>
      </c>
      <c r="I207" s="17">
        <v>36</v>
      </c>
      <c r="J207" s="17">
        <v>14.07</v>
      </c>
      <c r="K207" s="17">
        <v>37</v>
      </c>
      <c r="L207" s="17">
        <v>13.69</v>
      </c>
      <c r="M207" s="17">
        <v>66</v>
      </c>
    </row>
    <row r="208" s="17" customFormat="1" spans="1:13">
      <c r="A208" s="17" t="s">
        <v>248</v>
      </c>
      <c r="B208" s="17" t="s">
        <v>206</v>
      </c>
      <c r="C208" s="17" t="s">
        <v>207</v>
      </c>
      <c r="D208" s="17">
        <v>484.86</v>
      </c>
      <c r="E208" s="17">
        <v>4618</v>
      </c>
      <c r="F208" s="17">
        <v>79</v>
      </c>
      <c r="G208" s="17">
        <v>1</v>
      </c>
      <c r="H208" s="17">
        <v>484.86</v>
      </c>
      <c r="I208" s="17">
        <v>27</v>
      </c>
      <c r="J208" s="17">
        <v>17.96</v>
      </c>
      <c r="K208" s="17">
        <v>27</v>
      </c>
      <c r="L208" s="17">
        <v>17.96</v>
      </c>
      <c r="M208" s="17">
        <v>24</v>
      </c>
    </row>
    <row r="209" s="17" customFormat="1" spans="1:13">
      <c r="A209" s="17" t="s">
        <v>249</v>
      </c>
      <c r="B209" s="17" t="s">
        <v>206</v>
      </c>
      <c r="C209" s="17" t="s">
        <v>207</v>
      </c>
      <c r="D209" s="17">
        <v>339.14</v>
      </c>
      <c r="E209" s="17">
        <v>3381</v>
      </c>
      <c r="F209" s="17">
        <v>77</v>
      </c>
      <c r="G209" s="17">
        <v>1</v>
      </c>
      <c r="H209" s="17">
        <v>339.14</v>
      </c>
      <c r="I209" s="17">
        <v>20</v>
      </c>
      <c r="J209" s="17">
        <v>16.96</v>
      </c>
      <c r="K209" s="17">
        <v>22</v>
      </c>
      <c r="L209" s="17">
        <v>15.42</v>
      </c>
      <c r="M209" s="17">
        <v>30</v>
      </c>
    </row>
    <row r="210" s="17" customFormat="1" spans="1:13">
      <c r="A210" s="17" t="s">
        <v>250</v>
      </c>
      <c r="B210" s="17" t="s">
        <v>206</v>
      </c>
      <c r="C210" s="17" t="s">
        <v>207</v>
      </c>
      <c r="D210" s="17">
        <v>265.47</v>
      </c>
      <c r="E210" s="17">
        <v>2822</v>
      </c>
      <c r="F210" s="17">
        <v>61</v>
      </c>
      <c r="G210" s="17">
        <v>2</v>
      </c>
      <c r="H210" s="17">
        <v>132.74</v>
      </c>
      <c r="I210" s="17">
        <v>17</v>
      </c>
      <c r="J210" s="17">
        <v>15.62</v>
      </c>
      <c r="K210" s="17">
        <v>17</v>
      </c>
      <c r="L210" s="17">
        <v>15.62</v>
      </c>
      <c r="M210" s="17">
        <v>226</v>
      </c>
    </row>
    <row r="211" s="17" customFormat="1" spans="1:13">
      <c r="A211" s="17" t="s">
        <v>251</v>
      </c>
      <c r="B211" s="17" t="s">
        <v>206</v>
      </c>
      <c r="C211" s="17" t="s">
        <v>207</v>
      </c>
      <c r="D211" s="17">
        <v>313.88</v>
      </c>
      <c r="E211" s="17">
        <v>2609</v>
      </c>
      <c r="F211" s="17">
        <v>76</v>
      </c>
      <c r="G211" s="17">
        <v>1</v>
      </c>
      <c r="H211" s="17">
        <v>313.88</v>
      </c>
      <c r="I211" s="17">
        <v>30</v>
      </c>
      <c r="J211" s="17">
        <v>10.46</v>
      </c>
      <c r="K211" s="17">
        <v>32</v>
      </c>
      <c r="L211" s="17">
        <v>9.81</v>
      </c>
      <c r="M211" s="17">
        <v>30</v>
      </c>
    </row>
    <row r="212" s="17" customFormat="1" spans="1:13">
      <c r="A212" s="17" t="s">
        <v>252</v>
      </c>
      <c r="B212" s="17" t="s">
        <v>206</v>
      </c>
      <c r="C212" s="17" t="s">
        <v>207</v>
      </c>
      <c r="D212" s="17">
        <v>362.72</v>
      </c>
      <c r="E212" s="17">
        <v>2057</v>
      </c>
      <c r="F212" s="17">
        <v>66</v>
      </c>
      <c r="G212" s="17">
        <v>0</v>
      </c>
      <c r="H212" s="17">
        <v>0</v>
      </c>
      <c r="I212" s="17">
        <v>25</v>
      </c>
      <c r="J212" s="17">
        <v>14.51</v>
      </c>
      <c r="K212" s="17">
        <v>28</v>
      </c>
      <c r="L212" s="17">
        <v>12.95</v>
      </c>
      <c r="M212" s="17">
        <v>0</v>
      </c>
    </row>
    <row r="213" s="17" customFormat="1" spans="1:13">
      <c r="A213" s="17" t="s">
        <v>253</v>
      </c>
      <c r="B213" s="17" t="s">
        <v>206</v>
      </c>
      <c r="C213" s="17" t="s">
        <v>207</v>
      </c>
      <c r="D213" s="17">
        <v>193.69</v>
      </c>
      <c r="E213" s="17">
        <v>1649</v>
      </c>
      <c r="F213" s="17">
        <v>50</v>
      </c>
      <c r="G213" s="17">
        <v>0</v>
      </c>
      <c r="H213" s="17">
        <v>0</v>
      </c>
      <c r="I213" s="17">
        <v>18</v>
      </c>
      <c r="J213" s="17">
        <v>10.76</v>
      </c>
      <c r="K213" s="17">
        <v>19</v>
      </c>
      <c r="L213" s="17">
        <v>10.19</v>
      </c>
      <c r="M213" s="17">
        <v>0</v>
      </c>
    </row>
    <row r="214" s="17" customFormat="1" spans="1:13">
      <c r="A214" s="17" t="s">
        <v>254</v>
      </c>
      <c r="B214" s="17" t="s">
        <v>206</v>
      </c>
      <c r="C214" s="17" t="s">
        <v>207</v>
      </c>
      <c r="D214" s="17">
        <v>39.81</v>
      </c>
      <c r="E214" s="17">
        <v>439</v>
      </c>
      <c r="F214" s="17">
        <v>9</v>
      </c>
      <c r="G214" s="17">
        <v>1</v>
      </c>
      <c r="H214" s="17">
        <v>39.81</v>
      </c>
      <c r="I214" s="17">
        <v>3</v>
      </c>
      <c r="J214" s="17">
        <v>13.27</v>
      </c>
      <c r="K214" s="17">
        <v>3</v>
      </c>
      <c r="L214" s="17">
        <v>13.27</v>
      </c>
      <c r="M214" s="17">
        <v>6</v>
      </c>
    </row>
    <row r="215" s="17" customFormat="1" spans="1:13">
      <c r="A215" s="17" t="s">
        <v>255</v>
      </c>
      <c r="B215" s="17" t="s">
        <v>206</v>
      </c>
      <c r="C215" s="17" t="s">
        <v>207</v>
      </c>
      <c r="D215" s="17">
        <v>93.24</v>
      </c>
      <c r="E215" s="17">
        <v>766</v>
      </c>
      <c r="F215" s="17">
        <v>19</v>
      </c>
      <c r="G215" s="17">
        <v>0</v>
      </c>
      <c r="H215" s="17">
        <v>0</v>
      </c>
      <c r="I215" s="17">
        <v>9</v>
      </c>
      <c r="J215" s="17">
        <v>10.36</v>
      </c>
      <c r="K215" s="17">
        <v>10</v>
      </c>
      <c r="L215" s="17">
        <v>9.32</v>
      </c>
      <c r="M215" s="17">
        <v>0</v>
      </c>
    </row>
    <row r="216" s="17" customFormat="1" spans="1:13">
      <c r="A216" s="17" t="s">
        <v>256</v>
      </c>
      <c r="B216" s="17" t="s">
        <v>206</v>
      </c>
      <c r="C216" s="17" t="s">
        <v>207</v>
      </c>
      <c r="D216" s="17">
        <v>171.72</v>
      </c>
      <c r="E216" s="17">
        <v>1737</v>
      </c>
      <c r="F216" s="17">
        <v>34</v>
      </c>
      <c r="G216" s="17">
        <v>1</v>
      </c>
      <c r="H216" s="17">
        <v>171.72</v>
      </c>
      <c r="I216" s="17">
        <v>12</v>
      </c>
      <c r="J216" s="17">
        <v>14.31</v>
      </c>
      <c r="K216" s="17">
        <v>13</v>
      </c>
      <c r="L216" s="17">
        <v>13.21</v>
      </c>
      <c r="M216" s="17">
        <v>36</v>
      </c>
    </row>
    <row r="217" s="17" customFormat="1" spans="1:13">
      <c r="A217" s="17" t="s">
        <v>257</v>
      </c>
      <c r="B217" s="17" t="s">
        <v>206</v>
      </c>
      <c r="C217" s="17" t="s">
        <v>207</v>
      </c>
      <c r="D217" s="17">
        <v>88.81</v>
      </c>
      <c r="E217" s="17">
        <v>1017</v>
      </c>
      <c r="F217" s="17">
        <v>21</v>
      </c>
      <c r="G217" s="17">
        <v>0</v>
      </c>
      <c r="H217" s="17">
        <v>0</v>
      </c>
      <c r="I217" s="17">
        <v>6</v>
      </c>
      <c r="J217" s="17">
        <v>14.8</v>
      </c>
      <c r="K217" s="17">
        <v>5</v>
      </c>
      <c r="L217" s="17">
        <v>17.76</v>
      </c>
      <c r="M217" s="17">
        <v>0</v>
      </c>
    </row>
    <row r="218" s="17" customFormat="1" spans="1:13">
      <c r="A218" s="17" t="s">
        <v>258</v>
      </c>
      <c r="B218" s="17" t="s">
        <v>206</v>
      </c>
      <c r="C218" s="17" t="s">
        <v>207</v>
      </c>
      <c r="D218" s="17">
        <v>99.79</v>
      </c>
      <c r="E218" s="17">
        <v>1182</v>
      </c>
      <c r="F218" s="17">
        <v>24</v>
      </c>
      <c r="G218" s="17">
        <v>0</v>
      </c>
      <c r="H218" s="17">
        <v>0</v>
      </c>
      <c r="I218" s="17">
        <v>5</v>
      </c>
      <c r="J218" s="17">
        <v>19.96</v>
      </c>
      <c r="K218" s="17">
        <v>5</v>
      </c>
      <c r="L218" s="17">
        <v>19.96</v>
      </c>
      <c r="M218" s="17">
        <v>0</v>
      </c>
    </row>
    <row r="219" s="17" customFormat="1" spans="1:13">
      <c r="A219" s="17" t="s">
        <v>259</v>
      </c>
      <c r="B219" s="17" t="s">
        <v>206</v>
      </c>
      <c r="C219" s="17" t="s">
        <v>207</v>
      </c>
      <c r="D219" s="17">
        <v>61.66</v>
      </c>
      <c r="E219" s="17">
        <v>559</v>
      </c>
      <c r="F219" s="17">
        <v>10</v>
      </c>
      <c r="G219" s="17">
        <v>0</v>
      </c>
      <c r="H219" s="17">
        <v>0</v>
      </c>
      <c r="I219" s="17">
        <v>4</v>
      </c>
      <c r="J219" s="17">
        <v>15.42</v>
      </c>
      <c r="K219" s="17">
        <v>4</v>
      </c>
      <c r="L219" s="17">
        <v>15.42</v>
      </c>
      <c r="M219" s="17">
        <v>0</v>
      </c>
    </row>
    <row r="220" s="17" customFormat="1" spans="1:13">
      <c r="A220" s="17" t="s">
        <v>260</v>
      </c>
      <c r="B220" s="17" t="s">
        <v>206</v>
      </c>
      <c r="C220" s="17" t="s">
        <v>207</v>
      </c>
      <c r="D220" s="17">
        <v>18.65</v>
      </c>
      <c r="E220" s="17">
        <v>221</v>
      </c>
      <c r="F220" s="17">
        <v>4</v>
      </c>
      <c r="G220" s="17">
        <v>0</v>
      </c>
      <c r="H220" s="17">
        <v>0</v>
      </c>
      <c r="I220" s="17">
        <v>2</v>
      </c>
      <c r="J220" s="17">
        <v>9.33</v>
      </c>
      <c r="K220" s="17">
        <v>2</v>
      </c>
      <c r="L220" s="17">
        <v>9.33</v>
      </c>
      <c r="M220" s="17">
        <v>0</v>
      </c>
    </row>
    <row r="221" s="17" customFormat="1" spans="1:13">
      <c r="A221" s="17" t="s">
        <v>261</v>
      </c>
      <c r="B221" s="17" t="s">
        <v>206</v>
      </c>
      <c r="C221" s="17" t="s">
        <v>207</v>
      </c>
      <c r="D221" s="17">
        <v>0</v>
      </c>
      <c r="E221" s="17">
        <v>19</v>
      </c>
      <c r="F221" s="17">
        <v>0</v>
      </c>
      <c r="G221" s="17">
        <v>0</v>
      </c>
      <c r="H221" s="17">
        <v>0</v>
      </c>
      <c r="I221" s="17">
        <v>0</v>
      </c>
      <c r="J221" s="17">
        <v>0</v>
      </c>
      <c r="K221" s="17">
        <v>0</v>
      </c>
      <c r="L221" s="17">
        <v>0</v>
      </c>
      <c r="M221" s="17">
        <v>0</v>
      </c>
    </row>
    <row r="222" s="17" customFormat="1" spans="1:13">
      <c r="A222" s="17" t="s">
        <v>262</v>
      </c>
      <c r="B222" s="17" t="s">
        <v>206</v>
      </c>
      <c r="C222" s="17" t="s">
        <v>207</v>
      </c>
      <c r="D222" s="17">
        <v>269.94</v>
      </c>
      <c r="E222" s="17">
        <v>2430</v>
      </c>
      <c r="F222" s="17">
        <v>46</v>
      </c>
      <c r="G222" s="17">
        <v>0</v>
      </c>
      <c r="H222" s="17">
        <v>0</v>
      </c>
      <c r="I222" s="17">
        <v>10</v>
      </c>
      <c r="J222" s="17">
        <v>26.99</v>
      </c>
      <c r="K222" s="17">
        <v>10</v>
      </c>
      <c r="L222" s="17">
        <v>26.99</v>
      </c>
      <c r="M222" s="17">
        <v>0</v>
      </c>
    </row>
    <row r="223" s="17" customFormat="1" spans="1:13">
      <c r="A223" s="17" t="s">
        <v>263</v>
      </c>
      <c r="B223" s="17" t="s">
        <v>206</v>
      </c>
      <c r="C223" s="17" t="s">
        <v>207</v>
      </c>
      <c r="D223" s="17">
        <v>230.03</v>
      </c>
      <c r="E223" s="17">
        <v>1571</v>
      </c>
      <c r="F223" s="17">
        <v>36</v>
      </c>
      <c r="G223" s="17">
        <v>0</v>
      </c>
      <c r="H223" s="17">
        <v>0</v>
      </c>
      <c r="I223" s="17">
        <v>6</v>
      </c>
      <c r="J223" s="17">
        <v>38.34</v>
      </c>
      <c r="K223" s="17">
        <v>7</v>
      </c>
      <c r="L223" s="17">
        <v>32.86</v>
      </c>
      <c r="M223" s="17">
        <v>0</v>
      </c>
    </row>
    <row r="224" s="17" customFormat="1" spans="1:13">
      <c r="A224" s="17" t="s">
        <v>264</v>
      </c>
      <c r="B224" s="17" t="s">
        <v>206</v>
      </c>
      <c r="C224" s="17" t="s">
        <v>207</v>
      </c>
      <c r="D224" s="17">
        <v>142.33</v>
      </c>
      <c r="E224" s="17">
        <v>1047</v>
      </c>
      <c r="F224" s="17">
        <v>28</v>
      </c>
      <c r="G224" s="17">
        <v>1</v>
      </c>
      <c r="H224" s="17">
        <v>142.33</v>
      </c>
      <c r="I224" s="17">
        <v>11</v>
      </c>
      <c r="J224" s="17">
        <v>12.94</v>
      </c>
      <c r="K224" s="17">
        <v>11</v>
      </c>
      <c r="L224" s="17">
        <v>12.94</v>
      </c>
      <c r="M224" s="17">
        <v>30</v>
      </c>
    </row>
    <row r="225" s="17" customFormat="1" spans="1:13">
      <c r="A225" s="17" t="s">
        <v>265</v>
      </c>
      <c r="B225" s="17" t="s">
        <v>206</v>
      </c>
      <c r="C225" s="17" t="s">
        <v>207</v>
      </c>
      <c r="D225" s="17">
        <v>292.93</v>
      </c>
      <c r="E225" s="17">
        <v>2603</v>
      </c>
      <c r="F225" s="17">
        <v>44</v>
      </c>
      <c r="G225" s="17">
        <v>3</v>
      </c>
      <c r="H225" s="17">
        <v>97.64</v>
      </c>
      <c r="I225" s="17">
        <v>6</v>
      </c>
      <c r="J225" s="17">
        <v>48.82</v>
      </c>
      <c r="K225" s="17">
        <v>7</v>
      </c>
      <c r="L225" s="17">
        <v>41.85</v>
      </c>
      <c r="M225" s="17">
        <v>102</v>
      </c>
    </row>
    <row r="226" s="17" customFormat="1" spans="1:13">
      <c r="A226" s="17" t="s">
        <v>266</v>
      </c>
      <c r="B226" s="17" t="s">
        <v>206</v>
      </c>
      <c r="C226" s="17" t="s">
        <v>207</v>
      </c>
      <c r="D226" s="17">
        <v>335.81</v>
      </c>
      <c r="E226" s="17">
        <v>3456</v>
      </c>
      <c r="F226" s="17">
        <v>64</v>
      </c>
      <c r="G226" s="17">
        <v>0</v>
      </c>
      <c r="H226" s="17">
        <v>0</v>
      </c>
      <c r="I226" s="17">
        <v>10</v>
      </c>
      <c r="J226" s="17">
        <v>33.58</v>
      </c>
      <c r="K226" s="17">
        <v>10</v>
      </c>
      <c r="L226" s="17">
        <v>33.58</v>
      </c>
      <c r="M226" s="17">
        <v>0</v>
      </c>
    </row>
    <row r="227" s="17" customFormat="1" spans="1:13">
      <c r="A227" s="17" t="s">
        <v>267</v>
      </c>
      <c r="B227" s="17" t="s">
        <v>206</v>
      </c>
      <c r="C227" s="17" t="s">
        <v>207</v>
      </c>
      <c r="D227" s="17">
        <v>406.93</v>
      </c>
      <c r="E227" s="17">
        <v>2985</v>
      </c>
      <c r="F227" s="17">
        <v>88</v>
      </c>
      <c r="G227" s="17">
        <v>1</v>
      </c>
      <c r="H227" s="17">
        <v>406.93</v>
      </c>
      <c r="I227" s="17">
        <v>16</v>
      </c>
      <c r="J227" s="17">
        <v>25.43</v>
      </c>
      <c r="K227" s="17">
        <v>17</v>
      </c>
      <c r="L227" s="17">
        <v>23.94</v>
      </c>
      <c r="M227" s="17">
        <v>65.9</v>
      </c>
    </row>
    <row r="228" s="17" customFormat="1" spans="1:13">
      <c r="A228" s="17" t="s">
        <v>268</v>
      </c>
      <c r="B228" s="17" t="s">
        <v>206</v>
      </c>
      <c r="C228" s="17" t="s">
        <v>207</v>
      </c>
      <c r="D228" s="17">
        <v>510.7</v>
      </c>
      <c r="E228" s="17">
        <v>3342</v>
      </c>
      <c r="F228" s="17">
        <v>116</v>
      </c>
      <c r="G228" s="17">
        <v>0</v>
      </c>
      <c r="H228" s="17">
        <v>0</v>
      </c>
      <c r="I228" s="17">
        <v>26</v>
      </c>
      <c r="J228" s="17">
        <v>19.64</v>
      </c>
      <c r="K228" s="17">
        <v>26</v>
      </c>
      <c r="L228" s="17">
        <v>19.64</v>
      </c>
      <c r="M228" s="17">
        <v>0</v>
      </c>
    </row>
    <row r="229" s="17" customFormat="1" spans="1:13">
      <c r="A229" s="17" t="s">
        <v>269</v>
      </c>
      <c r="B229" s="17" t="s">
        <v>206</v>
      </c>
      <c r="C229" s="17" t="s">
        <v>207</v>
      </c>
      <c r="D229" s="17">
        <v>381.3</v>
      </c>
      <c r="E229" s="17">
        <v>3812</v>
      </c>
      <c r="F229" s="17">
        <v>116</v>
      </c>
      <c r="G229" s="17">
        <v>1</v>
      </c>
      <c r="H229" s="17">
        <v>381.3</v>
      </c>
      <c r="I229" s="17">
        <v>28</v>
      </c>
      <c r="J229" s="17">
        <v>13.62</v>
      </c>
      <c r="K229" s="17">
        <v>31</v>
      </c>
      <c r="L229" s="17">
        <v>12.3</v>
      </c>
      <c r="M229" s="17">
        <v>6</v>
      </c>
    </row>
    <row r="230" s="17" customFormat="1" spans="1:13">
      <c r="A230" s="17" t="s">
        <v>270</v>
      </c>
      <c r="B230" s="17" t="s">
        <v>206</v>
      </c>
      <c r="C230" s="17" t="s">
        <v>207</v>
      </c>
      <c r="D230" s="17">
        <v>584.83</v>
      </c>
      <c r="E230" s="17">
        <v>5304</v>
      </c>
      <c r="F230" s="17">
        <v>179</v>
      </c>
      <c r="G230" s="17">
        <v>2</v>
      </c>
      <c r="H230" s="17">
        <v>292.42</v>
      </c>
      <c r="I230" s="17">
        <v>33</v>
      </c>
      <c r="J230" s="17">
        <v>17.72</v>
      </c>
      <c r="K230" s="17">
        <v>37</v>
      </c>
      <c r="L230" s="17">
        <v>15.81</v>
      </c>
      <c r="M230" s="17">
        <v>36</v>
      </c>
    </row>
    <row r="231" s="17" customFormat="1" spans="1:13">
      <c r="A231" s="17" t="s">
        <v>271</v>
      </c>
      <c r="B231" s="17" t="s">
        <v>206</v>
      </c>
      <c r="C231" s="17" t="s">
        <v>207</v>
      </c>
      <c r="D231" s="17">
        <v>633.87</v>
      </c>
      <c r="E231" s="17">
        <v>6184</v>
      </c>
      <c r="F231" s="17">
        <v>139</v>
      </c>
      <c r="G231" s="17">
        <v>3</v>
      </c>
      <c r="H231" s="17">
        <v>211.29</v>
      </c>
      <c r="I231" s="17">
        <v>40</v>
      </c>
      <c r="J231" s="17">
        <v>15.85</v>
      </c>
      <c r="K231" s="17">
        <v>40</v>
      </c>
      <c r="L231" s="17">
        <v>15.85</v>
      </c>
      <c r="M231" s="17">
        <v>293.8</v>
      </c>
    </row>
    <row r="232" s="17" customFormat="1" spans="1:13">
      <c r="A232" s="17" t="s">
        <v>272</v>
      </c>
      <c r="B232" s="17" t="s">
        <v>206</v>
      </c>
      <c r="C232" s="17" t="s">
        <v>207</v>
      </c>
      <c r="D232" s="17">
        <v>280.75</v>
      </c>
      <c r="E232" s="17">
        <v>2964</v>
      </c>
      <c r="F232" s="17">
        <v>70</v>
      </c>
      <c r="G232" s="17">
        <v>1</v>
      </c>
      <c r="H232" s="17">
        <v>280.75</v>
      </c>
      <c r="I232" s="17">
        <v>19</v>
      </c>
      <c r="J232" s="17">
        <v>14.78</v>
      </c>
      <c r="K232" s="17">
        <v>21</v>
      </c>
      <c r="L232" s="17">
        <v>13.37</v>
      </c>
      <c r="M232" s="17">
        <v>90</v>
      </c>
    </row>
    <row r="233" s="17" customFormat="1" spans="1:13">
      <c r="A233" s="17" t="s">
        <v>273</v>
      </c>
      <c r="B233" s="17" t="s">
        <v>206</v>
      </c>
      <c r="C233" s="17" t="s">
        <v>207</v>
      </c>
      <c r="D233" s="17">
        <v>231.51</v>
      </c>
      <c r="E233" s="17">
        <v>2004</v>
      </c>
      <c r="F233" s="17">
        <v>54</v>
      </c>
      <c r="G233" s="17">
        <v>1</v>
      </c>
      <c r="H233" s="17">
        <v>231.51</v>
      </c>
      <c r="I233" s="17">
        <v>12</v>
      </c>
      <c r="J233" s="17">
        <v>19.29</v>
      </c>
      <c r="K233" s="17">
        <v>12</v>
      </c>
      <c r="L233" s="17">
        <v>19.29</v>
      </c>
      <c r="M233" s="17">
        <v>42</v>
      </c>
    </row>
    <row r="234" s="17" customFormat="1" spans="1:13">
      <c r="A234" s="17" t="s">
        <v>274</v>
      </c>
      <c r="B234" s="17" t="s">
        <v>206</v>
      </c>
      <c r="C234" s="17" t="s">
        <v>207</v>
      </c>
      <c r="D234" s="17">
        <v>267.98</v>
      </c>
      <c r="E234" s="17">
        <v>2538</v>
      </c>
      <c r="F234" s="17">
        <v>41</v>
      </c>
      <c r="G234" s="17">
        <v>0</v>
      </c>
      <c r="H234" s="17">
        <v>0</v>
      </c>
      <c r="I234" s="17">
        <v>8</v>
      </c>
      <c r="J234" s="17">
        <v>33.5</v>
      </c>
      <c r="K234" s="17">
        <v>8</v>
      </c>
      <c r="L234" s="17">
        <v>33.5</v>
      </c>
      <c r="M234" s="17">
        <v>0</v>
      </c>
    </row>
    <row r="235" s="17" customFormat="1" spans="1:13">
      <c r="A235" s="17" t="s">
        <v>275</v>
      </c>
      <c r="B235" s="17" t="s">
        <v>206</v>
      </c>
      <c r="C235" s="17" t="s">
        <v>207</v>
      </c>
      <c r="D235" s="17">
        <v>386.68</v>
      </c>
      <c r="E235" s="17">
        <v>3530</v>
      </c>
      <c r="F235" s="17">
        <v>97</v>
      </c>
      <c r="G235" s="17">
        <v>3</v>
      </c>
      <c r="H235" s="17">
        <v>128.89</v>
      </c>
      <c r="I235" s="17">
        <v>17</v>
      </c>
      <c r="J235" s="17">
        <v>22.75</v>
      </c>
      <c r="K235" s="17">
        <v>24</v>
      </c>
      <c r="L235" s="17">
        <v>16.11</v>
      </c>
      <c r="M235" s="17">
        <v>36</v>
      </c>
    </row>
    <row r="236" s="17" customFormat="1" spans="1:13">
      <c r="A236" s="17" t="s">
        <v>276</v>
      </c>
      <c r="B236" s="17" t="s">
        <v>206</v>
      </c>
      <c r="C236" s="17" t="s">
        <v>207</v>
      </c>
      <c r="D236" s="17">
        <v>613.99</v>
      </c>
      <c r="E236" s="17">
        <v>5486</v>
      </c>
      <c r="F236" s="17">
        <v>107</v>
      </c>
      <c r="G236" s="17">
        <v>1</v>
      </c>
      <c r="H236" s="17">
        <v>613.99</v>
      </c>
      <c r="I236" s="17">
        <v>33</v>
      </c>
      <c r="J236" s="17">
        <v>18.61</v>
      </c>
      <c r="K236" s="17">
        <v>38</v>
      </c>
      <c r="L236" s="17">
        <v>16.16</v>
      </c>
      <c r="M236" s="17">
        <v>6</v>
      </c>
    </row>
    <row r="237" s="17" customFormat="1" spans="1:13">
      <c r="A237" s="17" t="s">
        <v>277</v>
      </c>
      <c r="B237" s="17" t="s">
        <v>206</v>
      </c>
      <c r="C237" s="17" t="s">
        <v>207</v>
      </c>
      <c r="D237" s="17">
        <v>617.56</v>
      </c>
      <c r="E237" s="17">
        <v>5892</v>
      </c>
      <c r="F237" s="17">
        <v>101</v>
      </c>
      <c r="G237" s="17">
        <v>1</v>
      </c>
      <c r="H237" s="17">
        <v>617.56</v>
      </c>
      <c r="I237" s="17">
        <v>26</v>
      </c>
      <c r="J237" s="17">
        <v>23.75</v>
      </c>
      <c r="K237" s="17">
        <v>29</v>
      </c>
      <c r="L237" s="17">
        <v>21.3</v>
      </c>
      <c r="M237" s="17">
        <v>42</v>
      </c>
    </row>
    <row r="238" s="17" customFormat="1" spans="1:13">
      <c r="A238" s="17" t="s">
        <v>278</v>
      </c>
      <c r="B238" s="17" t="s">
        <v>206</v>
      </c>
      <c r="C238" s="17" t="s">
        <v>207</v>
      </c>
      <c r="D238" s="17">
        <v>322.06</v>
      </c>
      <c r="E238" s="17">
        <v>3851</v>
      </c>
      <c r="F238" s="17">
        <v>79</v>
      </c>
      <c r="G238" s="17">
        <v>0</v>
      </c>
      <c r="H238" s="17">
        <v>0</v>
      </c>
      <c r="I238" s="17">
        <v>34</v>
      </c>
      <c r="J238" s="17">
        <v>9.47</v>
      </c>
      <c r="K238" s="17">
        <v>37</v>
      </c>
      <c r="L238" s="17">
        <v>8.7</v>
      </c>
      <c r="M238" s="17">
        <v>0</v>
      </c>
    </row>
    <row r="239" s="17" customFormat="1" spans="1:13">
      <c r="A239" s="17" t="s">
        <v>279</v>
      </c>
      <c r="B239" s="17" t="s">
        <v>206</v>
      </c>
      <c r="C239" s="17" t="s">
        <v>207</v>
      </c>
      <c r="D239" s="17">
        <v>219.9</v>
      </c>
      <c r="E239" s="17">
        <v>2452</v>
      </c>
      <c r="F239" s="17">
        <v>35</v>
      </c>
      <c r="G239" s="17">
        <v>0</v>
      </c>
      <c r="H239" s="17">
        <v>0</v>
      </c>
      <c r="I239" s="17">
        <v>10</v>
      </c>
      <c r="J239" s="17">
        <v>21.99</v>
      </c>
      <c r="K239" s="17">
        <v>15</v>
      </c>
      <c r="L239" s="17">
        <v>14.66</v>
      </c>
      <c r="M239" s="17">
        <v>0</v>
      </c>
    </row>
    <row r="240" s="17" customFormat="1" spans="1:13">
      <c r="A240" s="17" t="s">
        <v>280</v>
      </c>
      <c r="B240" s="17" t="s">
        <v>206</v>
      </c>
      <c r="C240" s="17" t="s">
        <v>207</v>
      </c>
      <c r="D240" s="17">
        <v>0</v>
      </c>
      <c r="E240" s="17">
        <v>179</v>
      </c>
      <c r="F240" s="17">
        <v>1</v>
      </c>
      <c r="G240" s="17">
        <v>0</v>
      </c>
      <c r="H240" s="17">
        <v>0</v>
      </c>
      <c r="I240" s="17">
        <v>1</v>
      </c>
      <c r="J240" s="17">
        <v>0</v>
      </c>
      <c r="K240" s="17">
        <v>0</v>
      </c>
      <c r="L240" s="17">
        <v>0</v>
      </c>
      <c r="M240" s="17">
        <v>0</v>
      </c>
    </row>
    <row r="241" s="17" customFormat="1" spans="1:13">
      <c r="A241" s="17" t="s">
        <v>281</v>
      </c>
      <c r="B241" s="17" t="s">
        <v>206</v>
      </c>
      <c r="C241" s="17" t="s">
        <v>207</v>
      </c>
      <c r="D241" s="17">
        <v>320.05</v>
      </c>
      <c r="E241" s="17">
        <v>2820</v>
      </c>
      <c r="F241" s="17">
        <v>44</v>
      </c>
      <c r="G241" s="17">
        <v>0</v>
      </c>
      <c r="H241" s="17">
        <v>0</v>
      </c>
      <c r="I241" s="17">
        <v>15</v>
      </c>
      <c r="J241" s="17">
        <v>21.34</v>
      </c>
      <c r="K241" s="17">
        <v>17</v>
      </c>
      <c r="L241" s="17">
        <v>18.83</v>
      </c>
      <c r="M241" s="17">
        <v>0</v>
      </c>
    </row>
    <row r="242" s="17" customFormat="1" spans="1:13">
      <c r="A242" s="17" t="s">
        <v>282</v>
      </c>
      <c r="B242" s="17" t="s">
        <v>206</v>
      </c>
      <c r="C242" s="17" t="s">
        <v>207</v>
      </c>
      <c r="D242" s="17">
        <v>160.72</v>
      </c>
      <c r="E242" s="17">
        <v>1995</v>
      </c>
      <c r="F242" s="17">
        <v>29</v>
      </c>
      <c r="G242" s="17">
        <v>2</v>
      </c>
      <c r="H242" s="17">
        <v>80.36</v>
      </c>
      <c r="I242" s="17">
        <v>9</v>
      </c>
      <c r="J242" s="17">
        <v>17.86</v>
      </c>
      <c r="K242" s="17">
        <v>11</v>
      </c>
      <c r="L242" s="17">
        <v>14.61</v>
      </c>
      <c r="M242" s="17">
        <v>36</v>
      </c>
    </row>
    <row r="243" s="17" customFormat="1" spans="1:13">
      <c r="A243" s="17" t="s">
        <v>283</v>
      </c>
      <c r="B243" s="17" t="s">
        <v>206</v>
      </c>
      <c r="C243" s="17" t="s">
        <v>207</v>
      </c>
      <c r="D243" s="17">
        <v>100.4</v>
      </c>
      <c r="E243" s="17">
        <v>1200</v>
      </c>
      <c r="F243" s="17">
        <v>21</v>
      </c>
      <c r="G243" s="17">
        <v>0</v>
      </c>
      <c r="H243" s="17">
        <v>0</v>
      </c>
      <c r="I243" s="17">
        <v>4</v>
      </c>
      <c r="J243" s="17">
        <v>25.1</v>
      </c>
      <c r="K243" s="17">
        <v>5</v>
      </c>
      <c r="L243" s="17">
        <v>20.08</v>
      </c>
      <c r="M243" s="17">
        <v>0</v>
      </c>
    </row>
    <row r="244" s="17" customFormat="1" spans="1:13">
      <c r="A244" s="17" t="s">
        <v>284</v>
      </c>
      <c r="B244" s="17" t="s">
        <v>206</v>
      </c>
      <c r="C244" s="17" t="s">
        <v>207</v>
      </c>
      <c r="D244" s="17">
        <v>127.47</v>
      </c>
      <c r="E244" s="17">
        <v>1406</v>
      </c>
      <c r="F244" s="17">
        <v>20</v>
      </c>
      <c r="G244" s="17">
        <v>0</v>
      </c>
      <c r="H244" s="17">
        <v>0</v>
      </c>
      <c r="I244" s="17">
        <v>8</v>
      </c>
      <c r="J244" s="17">
        <v>15.93</v>
      </c>
      <c r="K244" s="17">
        <v>10</v>
      </c>
      <c r="L244" s="17">
        <v>12.75</v>
      </c>
      <c r="M244" s="17">
        <v>0</v>
      </c>
    </row>
    <row r="245" s="17" customFormat="1" spans="1:13">
      <c r="A245" s="17" t="s">
        <v>285</v>
      </c>
      <c r="B245" s="17" t="s">
        <v>206</v>
      </c>
      <c r="C245" s="17" t="s">
        <v>207</v>
      </c>
      <c r="D245" s="17">
        <v>120.64</v>
      </c>
      <c r="E245" s="17">
        <v>1361</v>
      </c>
      <c r="F245" s="17">
        <v>23</v>
      </c>
      <c r="G245" s="17">
        <v>1</v>
      </c>
      <c r="H245" s="17">
        <v>120.64</v>
      </c>
      <c r="I245" s="17">
        <v>6</v>
      </c>
      <c r="J245" s="17">
        <v>20.11</v>
      </c>
      <c r="K245" s="17">
        <v>8</v>
      </c>
      <c r="L245" s="17">
        <v>15.08</v>
      </c>
      <c r="M245" s="17">
        <v>126</v>
      </c>
    </row>
    <row r="246" s="17" customFormat="1" spans="1:13">
      <c r="A246" s="17" t="s">
        <v>286</v>
      </c>
      <c r="B246" s="17" t="s">
        <v>206</v>
      </c>
      <c r="C246" s="17" t="s">
        <v>207</v>
      </c>
      <c r="D246" s="17">
        <v>108.58</v>
      </c>
      <c r="E246" s="17">
        <v>1134</v>
      </c>
      <c r="F246" s="17">
        <v>30</v>
      </c>
      <c r="G246" s="17">
        <v>0</v>
      </c>
      <c r="H246" s="17">
        <v>0</v>
      </c>
      <c r="I246" s="17">
        <v>12</v>
      </c>
      <c r="J246" s="17">
        <v>9.05</v>
      </c>
      <c r="K246" s="17">
        <v>12</v>
      </c>
      <c r="L246" s="17">
        <v>9.05</v>
      </c>
      <c r="M246" s="17">
        <v>0</v>
      </c>
    </row>
    <row r="247" s="17" customFormat="1" spans="1:13">
      <c r="A247" s="17" t="s">
        <v>287</v>
      </c>
      <c r="B247" s="17" t="s">
        <v>206</v>
      </c>
      <c r="C247" s="17" t="s">
        <v>207</v>
      </c>
      <c r="D247" s="17">
        <v>99.14</v>
      </c>
      <c r="E247" s="17">
        <v>747</v>
      </c>
      <c r="F247" s="17">
        <v>13</v>
      </c>
      <c r="G247" s="17">
        <v>1</v>
      </c>
      <c r="H247" s="17">
        <v>99.14</v>
      </c>
      <c r="I247" s="17">
        <v>3</v>
      </c>
      <c r="J247" s="17">
        <v>33.05</v>
      </c>
      <c r="K247" s="17">
        <v>5</v>
      </c>
      <c r="L247" s="17">
        <v>19.83</v>
      </c>
      <c r="M247" s="17">
        <v>187.8</v>
      </c>
    </row>
    <row r="248" s="17" customFormat="1" spans="1:13">
      <c r="A248" s="17" t="s">
        <v>288</v>
      </c>
      <c r="B248" s="17" t="s">
        <v>206</v>
      </c>
      <c r="C248" s="17" t="s">
        <v>207</v>
      </c>
      <c r="D248" s="17">
        <v>136.55</v>
      </c>
      <c r="E248" s="17">
        <v>938</v>
      </c>
      <c r="F248" s="17">
        <v>14</v>
      </c>
      <c r="G248" s="17">
        <v>0</v>
      </c>
      <c r="H248" s="17">
        <v>0</v>
      </c>
      <c r="I248" s="17">
        <v>5</v>
      </c>
      <c r="J248" s="17">
        <v>27.31</v>
      </c>
      <c r="K248" s="17">
        <v>6</v>
      </c>
      <c r="L248" s="17">
        <v>22.76</v>
      </c>
      <c r="M248" s="17">
        <v>0</v>
      </c>
    </row>
    <row r="249" s="17" customFormat="1" spans="1:13">
      <c r="A249" s="17" t="s">
        <v>289</v>
      </c>
      <c r="B249" s="17" t="s">
        <v>206</v>
      </c>
      <c r="C249" s="17" t="s">
        <v>207</v>
      </c>
      <c r="D249" s="17">
        <v>93.21</v>
      </c>
      <c r="E249" s="17">
        <v>838</v>
      </c>
      <c r="F249" s="17">
        <v>23</v>
      </c>
      <c r="G249" s="17">
        <v>1</v>
      </c>
      <c r="H249" s="17">
        <v>93.21</v>
      </c>
      <c r="I249" s="17">
        <v>4</v>
      </c>
      <c r="J249" s="17">
        <v>23.3</v>
      </c>
      <c r="K249" s="17">
        <v>5</v>
      </c>
      <c r="L249" s="17">
        <v>18.64</v>
      </c>
      <c r="M249" s="17">
        <v>6</v>
      </c>
    </row>
    <row r="250" s="17" customFormat="1" spans="1:13">
      <c r="A250" s="17" t="s">
        <v>290</v>
      </c>
      <c r="B250" s="17" t="s">
        <v>206</v>
      </c>
      <c r="C250" s="17" t="s">
        <v>207</v>
      </c>
      <c r="D250" s="17">
        <v>106.28</v>
      </c>
      <c r="E250" s="17">
        <v>965</v>
      </c>
      <c r="F250" s="17">
        <v>29</v>
      </c>
      <c r="G250" s="17">
        <v>0</v>
      </c>
      <c r="H250" s="17">
        <v>0</v>
      </c>
      <c r="I250" s="17">
        <v>11</v>
      </c>
      <c r="J250" s="17">
        <v>9.66</v>
      </c>
      <c r="K250" s="17">
        <v>11</v>
      </c>
      <c r="L250" s="17">
        <v>9.66</v>
      </c>
      <c r="M250" s="17">
        <v>0</v>
      </c>
    </row>
    <row r="251" s="17" customFormat="1" spans="1:13">
      <c r="A251" s="17" t="s">
        <v>291</v>
      </c>
      <c r="B251" s="17" t="s">
        <v>206</v>
      </c>
      <c r="C251" s="17" t="s">
        <v>207</v>
      </c>
      <c r="D251" s="17">
        <v>155.03</v>
      </c>
      <c r="E251" s="17">
        <v>1549</v>
      </c>
      <c r="F251" s="17">
        <v>38</v>
      </c>
      <c r="G251" s="17">
        <v>0</v>
      </c>
      <c r="H251" s="17">
        <v>0</v>
      </c>
      <c r="I251" s="17">
        <v>13</v>
      </c>
      <c r="J251" s="17">
        <v>11.93</v>
      </c>
      <c r="K251" s="17">
        <v>14</v>
      </c>
      <c r="L251" s="17">
        <v>11.07</v>
      </c>
      <c r="M251" s="17">
        <v>0</v>
      </c>
    </row>
    <row r="252" s="17" customFormat="1" spans="1:13">
      <c r="A252" s="17" t="s">
        <v>292</v>
      </c>
      <c r="B252" s="17" t="s">
        <v>206</v>
      </c>
      <c r="C252" s="17" t="s">
        <v>207</v>
      </c>
      <c r="D252" s="17">
        <v>217.24</v>
      </c>
      <c r="E252" s="17">
        <v>2057</v>
      </c>
      <c r="F252" s="17">
        <v>37</v>
      </c>
      <c r="G252" s="17">
        <v>0</v>
      </c>
      <c r="H252" s="17">
        <v>0</v>
      </c>
      <c r="I252" s="17">
        <v>9</v>
      </c>
      <c r="J252" s="17">
        <v>24.14</v>
      </c>
      <c r="K252" s="17">
        <v>9</v>
      </c>
      <c r="L252" s="17">
        <v>24.14</v>
      </c>
      <c r="M252" s="17">
        <v>0</v>
      </c>
    </row>
    <row r="253" s="17" customFormat="1" spans="1:13">
      <c r="A253" s="17" t="s">
        <v>293</v>
      </c>
      <c r="B253" s="17" t="s">
        <v>206</v>
      </c>
      <c r="C253" s="17" t="s">
        <v>207</v>
      </c>
      <c r="D253" s="17">
        <v>289.67</v>
      </c>
      <c r="E253" s="17">
        <v>2714</v>
      </c>
      <c r="F253" s="17">
        <v>44</v>
      </c>
      <c r="G253" s="17">
        <v>0</v>
      </c>
      <c r="H253" s="17">
        <v>0</v>
      </c>
      <c r="I253" s="17">
        <v>11</v>
      </c>
      <c r="J253" s="17">
        <v>26.33</v>
      </c>
      <c r="K253" s="17">
        <v>11</v>
      </c>
      <c r="L253" s="17">
        <v>26.33</v>
      </c>
      <c r="M253" s="17">
        <v>0</v>
      </c>
    </row>
    <row r="254" s="17" customFormat="1" spans="1:13">
      <c r="A254" s="17" t="s">
        <v>294</v>
      </c>
      <c r="B254" s="17" t="s">
        <v>206</v>
      </c>
      <c r="C254" s="17" t="s">
        <v>207</v>
      </c>
      <c r="D254" s="17">
        <v>257.89</v>
      </c>
      <c r="E254" s="17">
        <v>2501</v>
      </c>
      <c r="F254" s="17">
        <v>45</v>
      </c>
      <c r="G254" s="17">
        <v>0</v>
      </c>
      <c r="H254" s="17">
        <v>0</v>
      </c>
      <c r="I254" s="17">
        <v>10</v>
      </c>
      <c r="J254" s="17">
        <v>25.79</v>
      </c>
      <c r="K254" s="17">
        <v>13</v>
      </c>
      <c r="L254" s="17">
        <v>19.84</v>
      </c>
      <c r="M254" s="17">
        <v>0</v>
      </c>
    </row>
    <row r="255" s="17" customFormat="1" spans="1:13">
      <c r="A255" s="17" t="s">
        <v>295</v>
      </c>
      <c r="B255" s="17" t="s">
        <v>206</v>
      </c>
      <c r="C255" s="17" t="s">
        <v>207</v>
      </c>
      <c r="D255" s="17">
        <v>172.53</v>
      </c>
      <c r="E255" s="17">
        <v>1781</v>
      </c>
      <c r="F255" s="17">
        <v>31</v>
      </c>
      <c r="G255" s="17">
        <v>0</v>
      </c>
      <c r="H255" s="17">
        <v>0</v>
      </c>
      <c r="I255" s="17">
        <v>10</v>
      </c>
      <c r="J255" s="17">
        <v>17.25</v>
      </c>
      <c r="K255" s="17">
        <v>10</v>
      </c>
      <c r="L255" s="17">
        <v>17.25</v>
      </c>
      <c r="M255" s="17">
        <v>0</v>
      </c>
    </row>
    <row r="256" s="17" customFormat="1" spans="1:13">
      <c r="A256" s="17" t="s">
        <v>296</v>
      </c>
      <c r="B256" s="17" t="s">
        <v>206</v>
      </c>
      <c r="C256" s="17" t="s">
        <v>207</v>
      </c>
      <c r="D256" s="17">
        <v>125.4</v>
      </c>
      <c r="E256" s="17">
        <v>1267</v>
      </c>
      <c r="F256" s="17">
        <v>16</v>
      </c>
      <c r="G256" s="17">
        <v>0</v>
      </c>
      <c r="H256" s="17">
        <v>0</v>
      </c>
      <c r="I256" s="17">
        <v>7</v>
      </c>
      <c r="J256" s="17">
        <v>17.91</v>
      </c>
      <c r="K256" s="17">
        <v>7</v>
      </c>
      <c r="L256" s="17">
        <v>17.91</v>
      </c>
      <c r="M256" s="17">
        <v>0</v>
      </c>
    </row>
    <row r="257" s="17" customFormat="1" spans="1:13">
      <c r="A257" s="17" t="s">
        <v>297</v>
      </c>
      <c r="B257" s="17" t="s">
        <v>206</v>
      </c>
      <c r="C257" s="17" t="s">
        <v>207</v>
      </c>
      <c r="D257" s="17">
        <v>133.82</v>
      </c>
      <c r="E257" s="17">
        <v>1356</v>
      </c>
      <c r="F257" s="17">
        <v>27</v>
      </c>
      <c r="G257" s="17">
        <v>2</v>
      </c>
      <c r="H257" s="17">
        <v>66.91</v>
      </c>
      <c r="I257" s="17">
        <v>4</v>
      </c>
      <c r="J257" s="17">
        <v>33.46</v>
      </c>
      <c r="K257" s="17">
        <v>4</v>
      </c>
      <c r="L257" s="17">
        <v>33.46</v>
      </c>
      <c r="M257" s="17">
        <v>36</v>
      </c>
    </row>
    <row r="258" s="17" customFormat="1" spans="1:13">
      <c r="A258" s="17" t="s">
        <v>298</v>
      </c>
      <c r="B258" s="17" t="s">
        <v>206</v>
      </c>
      <c r="C258" s="17" t="s">
        <v>207</v>
      </c>
      <c r="D258" s="17">
        <v>2.94</v>
      </c>
      <c r="E258" s="17">
        <v>212</v>
      </c>
      <c r="F258" s="17">
        <v>3</v>
      </c>
      <c r="G258" s="17">
        <v>0</v>
      </c>
      <c r="H258" s="17">
        <v>0</v>
      </c>
      <c r="I258" s="17">
        <v>3</v>
      </c>
      <c r="J258" s="17">
        <v>0.98</v>
      </c>
      <c r="K258" s="17">
        <v>4</v>
      </c>
      <c r="L258" s="17">
        <v>0.74</v>
      </c>
      <c r="M258" s="17">
        <v>0</v>
      </c>
    </row>
    <row r="259" s="17" customFormat="1" spans="1:13">
      <c r="A259" s="17" t="s">
        <v>299</v>
      </c>
      <c r="B259" s="17" t="s">
        <v>206</v>
      </c>
      <c r="C259" s="17" t="s">
        <v>207</v>
      </c>
      <c r="D259" s="17">
        <v>0</v>
      </c>
      <c r="E259" s="17">
        <v>44</v>
      </c>
      <c r="F259" s="17">
        <v>1</v>
      </c>
      <c r="G259" s="17">
        <v>0</v>
      </c>
      <c r="H259" s="17">
        <v>0</v>
      </c>
      <c r="I259" s="17">
        <v>3</v>
      </c>
      <c r="J259" s="17">
        <v>0</v>
      </c>
      <c r="K259" s="17">
        <v>3</v>
      </c>
      <c r="L259" s="17">
        <v>0</v>
      </c>
      <c r="M259" s="17">
        <v>0</v>
      </c>
    </row>
    <row r="260" s="17" customFormat="1" spans="1:13">
      <c r="A260" s="17" t="s">
        <v>300</v>
      </c>
      <c r="B260" s="17" t="s">
        <v>206</v>
      </c>
      <c r="C260" s="17" t="s">
        <v>207</v>
      </c>
      <c r="D260" s="17">
        <v>0</v>
      </c>
      <c r="E260" s="17">
        <v>25</v>
      </c>
      <c r="F260" s="17">
        <v>0</v>
      </c>
      <c r="G260" s="17">
        <v>0</v>
      </c>
      <c r="H260" s="17">
        <v>0</v>
      </c>
      <c r="I260" s="17">
        <v>0</v>
      </c>
      <c r="J260" s="17">
        <v>0</v>
      </c>
      <c r="K260" s="17">
        <v>0</v>
      </c>
      <c r="L260" s="17">
        <v>0</v>
      </c>
      <c r="M260" s="17">
        <v>0</v>
      </c>
    </row>
    <row r="261" s="17" customFormat="1" spans="1:13">
      <c r="A261" s="17" t="s">
        <v>301</v>
      </c>
      <c r="B261" s="17" t="s">
        <v>206</v>
      </c>
      <c r="C261" s="17" t="s">
        <v>207</v>
      </c>
      <c r="D261" s="17">
        <v>0</v>
      </c>
      <c r="E261" s="17">
        <v>12</v>
      </c>
      <c r="F261" s="17">
        <v>0</v>
      </c>
      <c r="G261" s="17">
        <v>0</v>
      </c>
      <c r="H261" s="17">
        <v>0</v>
      </c>
      <c r="I261" s="17">
        <v>0</v>
      </c>
      <c r="J261" s="17">
        <v>0</v>
      </c>
      <c r="K261" s="17">
        <v>0</v>
      </c>
      <c r="L261" s="17">
        <v>0</v>
      </c>
      <c r="M261" s="17">
        <v>0</v>
      </c>
    </row>
    <row r="262" s="17" customFormat="1" spans="1:13">
      <c r="A262" s="17" t="s">
        <v>302</v>
      </c>
      <c r="B262" s="17" t="s">
        <v>206</v>
      </c>
      <c r="C262" s="17" t="s">
        <v>207</v>
      </c>
      <c r="D262" s="17">
        <v>0</v>
      </c>
      <c r="E262" s="17">
        <v>13</v>
      </c>
      <c r="F262" s="17">
        <v>0</v>
      </c>
      <c r="G262" s="17">
        <v>0</v>
      </c>
      <c r="H262" s="17">
        <v>0</v>
      </c>
      <c r="I262" s="17">
        <v>0</v>
      </c>
      <c r="J262" s="17">
        <v>0</v>
      </c>
      <c r="K262" s="17">
        <v>0</v>
      </c>
      <c r="L262" s="17">
        <v>0</v>
      </c>
      <c r="M262" s="17">
        <v>0</v>
      </c>
    </row>
    <row r="263" s="17" customFormat="1" spans="1:13">
      <c r="A263" s="17" t="s">
        <v>303</v>
      </c>
      <c r="B263" s="17" t="s">
        <v>206</v>
      </c>
      <c r="C263" s="17" t="s">
        <v>207</v>
      </c>
      <c r="D263" s="17">
        <v>176.16</v>
      </c>
      <c r="E263" s="17">
        <v>1789</v>
      </c>
      <c r="F263" s="17">
        <v>34</v>
      </c>
      <c r="G263" s="17">
        <v>0</v>
      </c>
      <c r="H263" s="17">
        <v>0</v>
      </c>
      <c r="I263" s="17">
        <v>8</v>
      </c>
      <c r="J263" s="17">
        <v>22.02</v>
      </c>
      <c r="K263" s="17">
        <v>9</v>
      </c>
      <c r="L263" s="17">
        <v>19.57</v>
      </c>
      <c r="M263" s="17">
        <v>0</v>
      </c>
    </row>
    <row r="264" s="17" customFormat="1" spans="1:13">
      <c r="A264" s="17" t="s">
        <v>304</v>
      </c>
      <c r="B264" s="17" t="s">
        <v>206</v>
      </c>
      <c r="C264" s="17" t="s">
        <v>207</v>
      </c>
      <c r="D264" s="17">
        <v>160.51</v>
      </c>
      <c r="E264" s="17">
        <v>1908</v>
      </c>
      <c r="F264" s="17">
        <v>27</v>
      </c>
      <c r="G264" s="17">
        <v>0</v>
      </c>
      <c r="H264" s="17">
        <v>0</v>
      </c>
      <c r="I264" s="17">
        <v>5</v>
      </c>
      <c r="J264" s="17">
        <v>32.1</v>
      </c>
      <c r="K264" s="17">
        <v>5</v>
      </c>
      <c r="L264" s="17">
        <v>32.1</v>
      </c>
      <c r="M264" s="17">
        <v>0</v>
      </c>
    </row>
    <row r="265" s="17" customFormat="1" spans="1:13">
      <c r="A265" s="17" t="s">
        <v>305</v>
      </c>
      <c r="B265" s="17" t="s">
        <v>206</v>
      </c>
      <c r="C265" s="17" t="s">
        <v>207</v>
      </c>
      <c r="D265" s="17">
        <v>165.46</v>
      </c>
      <c r="E265" s="17">
        <v>2089</v>
      </c>
      <c r="F265" s="17">
        <v>30</v>
      </c>
      <c r="G265" s="17">
        <v>0</v>
      </c>
      <c r="H265" s="17">
        <v>0</v>
      </c>
      <c r="I265" s="17">
        <v>6</v>
      </c>
      <c r="J265" s="17">
        <v>27.58</v>
      </c>
      <c r="K265" s="17">
        <v>6</v>
      </c>
      <c r="L265" s="17">
        <v>27.58</v>
      </c>
      <c r="M265" s="17">
        <v>0</v>
      </c>
    </row>
    <row r="266" s="17" customFormat="1" spans="1:13">
      <c r="A266" s="17" t="s">
        <v>306</v>
      </c>
      <c r="B266" s="17" t="s">
        <v>206</v>
      </c>
      <c r="C266" s="17" t="s">
        <v>207</v>
      </c>
      <c r="D266" s="17">
        <v>101.45</v>
      </c>
      <c r="E266" s="17">
        <v>1423</v>
      </c>
      <c r="F266" s="17">
        <v>34</v>
      </c>
      <c r="G266" s="17">
        <v>0</v>
      </c>
      <c r="H266" s="17">
        <v>0</v>
      </c>
      <c r="I266" s="17">
        <v>9</v>
      </c>
      <c r="J266" s="17">
        <v>11.27</v>
      </c>
      <c r="K266" s="17">
        <v>10</v>
      </c>
      <c r="L266" s="17">
        <v>10.15</v>
      </c>
      <c r="M266" s="17">
        <v>0</v>
      </c>
    </row>
    <row r="267" s="17" customFormat="1" spans="1:13">
      <c r="A267" s="17" t="s">
        <v>307</v>
      </c>
      <c r="B267" s="17" t="s">
        <v>206</v>
      </c>
      <c r="C267" s="17" t="s">
        <v>207</v>
      </c>
      <c r="D267" s="17">
        <v>0</v>
      </c>
      <c r="E267" s="17">
        <v>70</v>
      </c>
      <c r="F267" s="17">
        <v>1</v>
      </c>
      <c r="G267" s="17">
        <v>0</v>
      </c>
      <c r="H267" s="17">
        <v>0</v>
      </c>
      <c r="I267" s="17">
        <v>1</v>
      </c>
      <c r="J267" s="17">
        <v>0</v>
      </c>
      <c r="K267" s="17">
        <v>2</v>
      </c>
      <c r="L267" s="17">
        <v>0</v>
      </c>
      <c r="M267" s="17">
        <v>0</v>
      </c>
    </row>
    <row r="268" s="17" customFormat="1" spans="1:13">
      <c r="A268" s="17" t="s">
        <v>308</v>
      </c>
      <c r="B268" s="17" t="s">
        <v>206</v>
      </c>
      <c r="C268" s="17" t="s">
        <v>207</v>
      </c>
      <c r="D268" s="17">
        <v>0</v>
      </c>
      <c r="E268" s="17">
        <v>42</v>
      </c>
      <c r="F268" s="17">
        <v>0</v>
      </c>
      <c r="G268" s="17">
        <v>0</v>
      </c>
      <c r="H268" s="17">
        <v>0</v>
      </c>
      <c r="I268" s="17">
        <v>0</v>
      </c>
      <c r="J268" s="17">
        <v>0</v>
      </c>
      <c r="K268" s="17">
        <v>0</v>
      </c>
      <c r="L268" s="17">
        <v>0</v>
      </c>
      <c r="M268" s="17">
        <v>0</v>
      </c>
    </row>
    <row r="269" s="17" customFormat="1" spans="1:13">
      <c r="A269" s="17" t="s">
        <v>309</v>
      </c>
      <c r="B269" s="17" t="s">
        <v>206</v>
      </c>
      <c r="C269" s="17" t="s">
        <v>207</v>
      </c>
      <c r="D269" s="17">
        <v>0</v>
      </c>
      <c r="E269" s="17">
        <v>26</v>
      </c>
      <c r="F269" s="17">
        <v>1</v>
      </c>
      <c r="G269" s="17">
        <v>0</v>
      </c>
      <c r="H269" s="17">
        <v>0</v>
      </c>
      <c r="I269" s="17">
        <v>0</v>
      </c>
      <c r="J269" s="17">
        <v>0</v>
      </c>
      <c r="K269" s="17">
        <v>0</v>
      </c>
      <c r="L269" s="17">
        <v>0</v>
      </c>
      <c r="M269" s="17">
        <v>0</v>
      </c>
    </row>
    <row r="270" s="17" customFormat="1" spans="1:13">
      <c r="A270" s="17" t="s">
        <v>310</v>
      </c>
      <c r="B270" s="17" t="s">
        <v>206</v>
      </c>
      <c r="C270" s="17" t="s">
        <v>207</v>
      </c>
      <c r="D270" s="17">
        <v>123.52</v>
      </c>
      <c r="E270" s="17">
        <v>969</v>
      </c>
      <c r="F270" s="17">
        <v>23</v>
      </c>
      <c r="G270" s="17">
        <v>0</v>
      </c>
      <c r="H270" s="17">
        <v>0</v>
      </c>
      <c r="I270" s="17">
        <v>7</v>
      </c>
      <c r="J270" s="17">
        <v>17.65</v>
      </c>
      <c r="K270" s="17">
        <v>9</v>
      </c>
      <c r="L270" s="17">
        <v>13.72</v>
      </c>
      <c r="M270" s="17">
        <v>0</v>
      </c>
    </row>
    <row r="271" s="17" customFormat="1" spans="1:13">
      <c r="A271" s="17" t="s">
        <v>311</v>
      </c>
      <c r="B271" s="17" t="s">
        <v>206</v>
      </c>
      <c r="C271" s="17" t="s">
        <v>207</v>
      </c>
      <c r="D271" s="17">
        <v>169.22</v>
      </c>
      <c r="E271" s="17">
        <v>1423</v>
      </c>
      <c r="F271" s="17">
        <v>34</v>
      </c>
      <c r="G271" s="17">
        <v>1</v>
      </c>
      <c r="H271" s="17">
        <v>169.22</v>
      </c>
      <c r="I271" s="17">
        <v>8</v>
      </c>
      <c r="J271" s="17">
        <v>21.15</v>
      </c>
      <c r="K271" s="17">
        <v>9</v>
      </c>
      <c r="L271" s="17">
        <v>18.8</v>
      </c>
      <c r="M271" s="17">
        <v>72</v>
      </c>
    </row>
    <row r="272" s="17" customFormat="1" spans="1:13">
      <c r="A272" s="17" t="s">
        <v>312</v>
      </c>
      <c r="B272" s="17" t="s">
        <v>206</v>
      </c>
      <c r="C272" s="17" t="s">
        <v>207</v>
      </c>
      <c r="D272" s="17">
        <v>161.88</v>
      </c>
      <c r="E272" s="17">
        <v>1389</v>
      </c>
      <c r="F272" s="17">
        <v>23</v>
      </c>
      <c r="G272" s="17">
        <v>2</v>
      </c>
      <c r="H272" s="17">
        <v>80.94</v>
      </c>
      <c r="I272" s="17">
        <v>7</v>
      </c>
      <c r="J272" s="17">
        <v>23.13</v>
      </c>
      <c r="K272" s="17">
        <v>6</v>
      </c>
      <c r="L272" s="17">
        <v>26.98</v>
      </c>
      <c r="M272" s="17">
        <v>18</v>
      </c>
    </row>
    <row r="273" s="17" customFormat="1" spans="1:13">
      <c r="A273" s="17" t="s">
        <v>313</v>
      </c>
      <c r="B273" s="17" t="s">
        <v>206</v>
      </c>
      <c r="C273" s="17" t="s">
        <v>207</v>
      </c>
      <c r="D273" s="17">
        <v>137.49</v>
      </c>
      <c r="E273" s="17">
        <v>1143</v>
      </c>
      <c r="F273" s="17">
        <v>21</v>
      </c>
      <c r="G273" s="17">
        <v>0</v>
      </c>
      <c r="H273" s="17">
        <v>0</v>
      </c>
      <c r="I273" s="17">
        <v>9</v>
      </c>
      <c r="J273" s="17">
        <v>15.28</v>
      </c>
      <c r="K273" s="17">
        <v>10</v>
      </c>
      <c r="L273" s="17">
        <v>13.75</v>
      </c>
      <c r="M273" s="17">
        <v>0</v>
      </c>
    </row>
    <row r="274" s="17" customFormat="1" spans="1:13">
      <c r="A274" s="17" t="s">
        <v>314</v>
      </c>
      <c r="B274" s="17" t="s">
        <v>206</v>
      </c>
      <c r="C274" s="17" t="s">
        <v>207</v>
      </c>
      <c r="D274" s="17">
        <v>92.99</v>
      </c>
      <c r="E274" s="17">
        <v>949</v>
      </c>
      <c r="F274" s="17">
        <v>18</v>
      </c>
      <c r="G274" s="17">
        <v>0</v>
      </c>
      <c r="H274" s="17">
        <v>0</v>
      </c>
      <c r="I274" s="17">
        <v>5</v>
      </c>
      <c r="J274" s="17">
        <v>18.6</v>
      </c>
      <c r="K274" s="17">
        <v>5</v>
      </c>
      <c r="L274" s="17">
        <v>18.6</v>
      </c>
      <c r="M274" s="17">
        <v>0</v>
      </c>
    </row>
    <row r="275" s="17" customFormat="1" spans="1:13">
      <c r="A275" s="17" t="s">
        <v>315</v>
      </c>
      <c r="B275" s="17" t="s">
        <v>206</v>
      </c>
      <c r="C275" s="17" t="s">
        <v>207</v>
      </c>
      <c r="D275" s="17">
        <v>81.64</v>
      </c>
      <c r="E275" s="17">
        <v>919</v>
      </c>
      <c r="F275" s="17">
        <v>22</v>
      </c>
      <c r="G275" s="17">
        <v>0</v>
      </c>
      <c r="H275" s="17">
        <v>0</v>
      </c>
      <c r="I275" s="17">
        <v>4</v>
      </c>
      <c r="J275" s="17">
        <v>20.41</v>
      </c>
      <c r="K275" s="17">
        <v>4</v>
      </c>
      <c r="L275" s="17">
        <v>20.41</v>
      </c>
      <c r="M275" s="17">
        <v>0</v>
      </c>
    </row>
    <row r="276" s="17" customFormat="1" spans="1:13">
      <c r="A276" s="17" t="s">
        <v>316</v>
      </c>
      <c r="B276" s="17" t="s">
        <v>206</v>
      </c>
      <c r="C276" s="17" t="s">
        <v>207</v>
      </c>
      <c r="D276" s="17">
        <v>156.56</v>
      </c>
      <c r="E276" s="17">
        <v>1376</v>
      </c>
      <c r="F276" s="17">
        <v>30</v>
      </c>
      <c r="G276" s="17">
        <v>0</v>
      </c>
      <c r="H276" s="17">
        <v>0</v>
      </c>
      <c r="I276" s="17">
        <v>7</v>
      </c>
      <c r="J276" s="17">
        <v>22.37</v>
      </c>
      <c r="K276" s="17">
        <v>7</v>
      </c>
      <c r="L276" s="17">
        <v>22.37</v>
      </c>
      <c r="M276" s="17">
        <v>0</v>
      </c>
    </row>
    <row r="277" s="17" customFormat="1" spans="1:13">
      <c r="A277" s="17" t="s">
        <v>317</v>
      </c>
      <c r="B277" s="17" t="s">
        <v>206</v>
      </c>
      <c r="C277" s="17" t="s">
        <v>207</v>
      </c>
      <c r="D277" s="17">
        <v>158.26</v>
      </c>
      <c r="E277" s="17">
        <v>1708</v>
      </c>
      <c r="F277" s="17">
        <v>30</v>
      </c>
      <c r="G277" s="17">
        <v>0</v>
      </c>
      <c r="H277" s="17">
        <v>0</v>
      </c>
      <c r="I277" s="17">
        <v>13</v>
      </c>
      <c r="J277" s="17">
        <v>12.17</v>
      </c>
      <c r="K277" s="17">
        <v>15</v>
      </c>
      <c r="L277" s="17">
        <v>10.55</v>
      </c>
      <c r="M277" s="17">
        <v>0</v>
      </c>
    </row>
    <row r="278" s="17" customFormat="1" spans="1:13">
      <c r="A278" s="17" t="s">
        <v>318</v>
      </c>
      <c r="B278" s="17" t="s">
        <v>206</v>
      </c>
      <c r="C278" s="17" t="s">
        <v>207</v>
      </c>
      <c r="D278" s="17">
        <v>138.56</v>
      </c>
      <c r="E278" s="17">
        <v>1360</v>
      </c>
      <c r="F278" s="17">
        <v>31</v>
      </c>
      <c r="G278" s="17">
        <v>0</v>
      </c>
      <c r="H278" s="17">
        <v>0</v>
      </c>
      <c r="I278" s="17">
        <v>5</v>
      </c>
      <c r="J278" s="17">
        <v>27.71</v>
      </c>
      <c r="K278" s="17">
        <v>6</v>
      </c>
      <c r="L278" s="17">
        <v>23.09</v>
      </c>
      <c r="M278" s="17">
        <v>0</v>
      </c>
    </row>
    <row r="279" s="17" customFormat="1" spans="1:13">
      <c r="A279" s="17" t="s">
        <v>319</v>
      </c>
      <c r="B279" s="17" t="s">
        <v>206</v>
      </c>
      <c r="C279" s="17" t="s">
        <v>207</v>
      </c>
      <c r="D279" s="17">
        <v>124.83</v>
      </c>
      <c r="E279" s="17">
        <v>1301</v>
      </c>
      <c r="F279" s="17">
        <v>22</v>
      </c>
      <c r="G279" s="17">
        <v>0</v>
      </c>
      <c r="H279" s="17">
        <v>0</v>
      </c>
      <c r="I279" s="17">
        <v>9</v>
      </c>
      <c r="J279" s="17">
        <v>13.87</v>
      </c>
      <c r="K279" s="17">
        <v>10</v>
      </c>
      <c r="L279" s="17">
        <v>12.48</v>
      </c>
      <c r="M279" s="17">
        <v>0</v>
      </c>
    </row>
    <row r="280" s="17" customFormat="1" spans="1:13">
      <c r="A280" s="17" t="s">
        <v>320</v>
      </c>
      <c r="B280" s="17" t="s">
        <v>206</v>
      </c>
      <c r="C280" s="17" t="s">
        <v>207</v>
      </c>
      <c r="D280" s="17">
        <v>111.72</v>
      </c>
      <c r="E280" s="17">
        <v>1191</v>
      </c>
      <c r="F280" s="17">
        <v>25</v>
      </c>
      <c r="G280" s="17">
        <v>2</v>
      </c>
      <c r="H280" s="17">
        <v>55.86</v>
      </c>
      <c r="I280" s="17">
        <v>9</v>
      </c>
      <c r="J280" s="17">
        <v>12.41</v>
      </c>
      <c r="K280" s="17">
        <v>11</v>
      </c>
      <c r="L280" s="17">
        <v>10.16</v>
      </c>
      <c r="M280" s="17">
        <v>66</v>
      </c>
    </row>
    <row r="281" s="17" customFormat="1" spans="1:13">
      <c r="A281" s="17" t="s">
        <v>321</v>
      </c>
      <c r="B281" s="17" t="s">
        <v>206</v>
      </c>
      <c r="C281" s="17" t="s">
        <v>207</v>
      </c>
      <c r="D281" s="17">
        <v>115.18</v>
      </c>
      <c r="E281" s="17">
        <v>1184</v>
      </c>
      <c r="F281" s="17">
        <v>30</v>
      </c>
      <c r="G281" s="17">
        <v>0</v>
      </c>
      <c r="H281" s="17">
        <v>0</v>
      </c>
      <c r="I281" s="17">
        <v>9</v>
      </c>
      <c r="J281" s="17">
        <v>12.8</v>
      </c>
      <c r="K281" s="17">
        <v>12</v>
      </c>
      <c r="L281" s="17">
        <v>9.6</v>
      </c>
      <c r="M281" s="17">
        <v>186</v>
      </c>
    </row>
    <row r="282" s="17" customFormat="1" spans="1:13">
      <c r="A282" s="17" t="s">
        <v>322</v>
      </c>
      <c r="B282" s="17" t="s">
        <v>206</v>
      </c>
      <c r="C282" s="17" t="s">
        <v>207</v>
      </c>
      <c r="D282" s="17">
        <v>144.32</v>
      </c>
      <c r="E282" s="17">
        <v>1420</v>
      </c>
      <c r="F282" s="17">
        <v>29</v>
      </c>
      <c r="G282" s="17">
        <v>1</v>
      </c>
      <c r="H282" s="17">
        <v>144.32</v>
      </c>
      <c r="I282" s="17">
        <v>8</v>
      </c>
      <c r="J282" s="17">
        <v>18.04</v>
      </c>
      <c r="K282" s="17">
        <v>8</v>
      </c>
      <c r="L282" s="17">
        <v>18.04</v>
      </c>
      <c r="M282" s="17">
        <v>30</v>
      </c>
    </row>
    <row r="283" s="17" customFormat="1" spans="1:13">
      <c r="A283" s="17" t="s">
        <v>323</v>
      </c>
      <c r="B283" s="17" t="s">
        <v>206</v>
      </c>
      <c r="C283" s="17" t="s">
        <v>207</v>
      </c>
      <c r="D283" s="17">
        <v>2.44</v>
      </c>
      <c r="E283" s="17">
        <v>160</v>
      </c>
      <c r="F283" s="17">
        <v>2</v>
      </c>
      <c r="G283" s="17">
        <v>0</v>
      </c>
      <c r="H283" s="17">
        <v>0</v>
      </c>
      <c r="I283" s="17">
        <v>3</v>
      </c>
      <c r="J283" s="17">
        <v>0.81</v>
      </c>
      <c r="K283" s="17">
        <v>2</v>
      </c>
      <c r="L283" s="17">
        <v>1.22</v>
      </c>
      <c r="M283" s="17">
        <v>0</v>
      </c>
    </row>
    <row r="284" s="17" customFormat="1" spans="1:13">
      <c r="A284" s="17" t="s">
        <v>324</v>
      </c>
      <c r="B284" s="17" t="s">
        <v>206</v>
      </c>
      <c r="C284" s="17" t="s">
        <v>207</v>
      </c>
      <c r="D284" s="17">
        <v>0</v>
      </c>
      <c r="E284" s="17">
        <v>30</v>
      </c>
      <c r="F284" s="17">
        <v>1</v>
      </c>
      <c r="G284" s="17">
        <v>0</v>
      </c>
      <c r="H284" s="17">
        <v>0</v>
      </c>
      <c r="I284" s="17">
        <v>1</v>
      </c>
      <c r="J284" s="17">
        <v>0</v>
      </c>
      <c r="K284" s="17">
        <v>1</v>
      </c>
      <c r="L284" s="17">
        <v>0</v>
      </c>
      <c r="M284" s="17">
        <v>0</v>
      </c>
    </row>
    <row r="285" s="17" customFormat="1" spans="1:13">
      <c r="A285" s="17" t="s">
        <v>325</v>
      </c>
      <c r="B285" s="17" t="s">
        <v>206</v>
      </c>
      <c r="C285" s="17" t="s">
        <v>207</v>
      </c>
      <c r="D285" s="17">
        <v>0</v>
      </c>
      <c r="E285" s="17">
        <v>20</v>
      </c>
      <c r="F285" s="17">
        <v>0</v>
      </c>
      <c r="G285" s="17">
        <v>0</v>
      </c>
      <c r="H285" s="17">
        <v>0</v>
      </c>
      <c r="I285" s="17">
        <v>0</v>
      </c>
      <c r="J285" s="17">
        <v>0</v>
      </c>
      <c r="K285" s="17">
        <v>0</v>
      </c>
      <c r="L285" s="17">
        <v>0</v>
      </c>
      <c r="M285" s="17">
        <v>0</v>
      </c>
    </row>
    <row r="286" s="17" customFormat="1" spans="1:13">
      <c r="A286" s="17" t="s">
        <v>326</v>
      </c>
      <c r="B286" s="17" t="s">
        <v>206</v>
      </c>
      <c r="C286" s="17" t="s">
        <v>207</v>
      </c>
      <c r="D286" s="17">
        <v>0</v>
      </c>
      <c r="E286" s="17">
        <v>11</v>
      </c>
      <c r="F286" s="17">
        <v>0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>
        <v>0</v>
      </c>
      <c r="M286" s="17">
        <v>0</v>
      </c>
    </row>
    <row r="287" s="17" customFormat="1" spans="1:13">
      <c r="A287" s="17" t="s">
        <v>327</v>
      </c>
      <c r="B287" s="17" t="s">
        <v>206</v>
      </c>
      <c r="C287" s="17" t="s">
        <v>207</v>
      </c>
      <c r="D287" s="17">
        <v>128.29</v>
      </c>
      <c r="E287" s="17">
        <v>1336</v>
      </c>
      <c r="F287" s="17">
        <v>30</v>
      </c>
      <c r="G287" s="17">
        <v>1</v>
      </c>
      <c r="H287" s="17">
        <v>128.29</v>
      </c>
      <c r="I287" s="17">
        <v>8</v>
      </c>
      <c r="J287" s="17">
        <v>16.04</v>
      </c>
      <c r="K287" s="17">
        <v>11</v>
      </c>
      <c r="L287" s="17">
        <v>11.66</v>
      </c>
      <c r="M287" s="17">
        <v>36</v>
      </c>
    </row>
    <row r="288" s="17" customFormat="1" spans="1:13">
      <c r="A288" s="17" t="s">
        <v>328</v>
      </c>
      <c r="B288" s="17" t="s">
        <v>206</v>
      </c>
      <c r="C288" s="17" t="s">
        <v>207</v>
      </c>
      <c r="D288" s="17">
        <v>196.49</v>
      </c>
      <c r="E288" s="17">
        <v>2503</v>
      </c>
      <c r="F288" s="17">
        <v>52</v>
      </c>
      <c r="G288" s="17">
        <v>0</v>
      </c>
      <c r="H288" s="17">
        <v>0</v>
      </c>
      <c r="I288" s="17">
        <v>12</v>
      </c>
      <c r="J288" s="17">
        <v>16.37</v>
      </c>
      <c r="K288" s="17">
        <v>14</v>
      </c>
      <c r="L288" s="17">
        <v>14.04</v>
      </c>
      <c r="M288" s="17">
        <v>0</v>
      </c>
    </row>
    <row r="289" s="17" customFormat="1" spans="1:13">
      <c r="A289" s="17" t="s">
        <v>329</v>
      </c>
      <c r="B289" s="17" t="s">
        <v>206</v>
      </c>
      <c r="C289" s="17" t="s">
        <v>207</v>
      </c>
      <c r="D289" s="17">
        <v>224.62</v>
      </c>
      <c r="E289" s="17">
        <v>3049</v>
      </c>
      <c r="F289" s="17">
        <v>54</v>
      </c>
      <c r="G289" s="17">
        <v>0</v>
      </c>
      <c r="H289" s="17">
        <v>0</v>
      </c>
      <c r="I289" s="17">
        <v>18</v>
      </c>
      <c r="J289" s="17">
        <v>12.48</v>
      </c>
      <c r="K289" s="17">
        <v>20</v>
      </c>
      <c r="L289" s="17">
        <v>11.23</v>
      </c>
      <c r="M289" s="17">
        <v>0</v>
      </c>
    </row>
    <row r="290" s="17" customFormat="1" spans="1:13">
      <c r="A290" s="17" t="s">
        <v>330</v>
      </c>
      <c r="B290" s="17" t="s">
        <v>206</v>
      </c>
      <c r="C290" s="17" t="s">
        <v>207</v>
      </c>
      <c r="D290" s="17">
        <v>217.79</v>
      </c>
      <c r="E290" s="17">
        <v>3231</v>
      </c>
      <c r="F290" s="17">
        <v>63</v>
      </c>
      <c r="G290" s="17">
        <v>0</v>
      </c>
      <c r="H290" s="17">
        <v>0</v>
      </c>
      <c r="I290" s="17">
        <v>14</v>
      </c>
      <c r="J290" s="17">
        <v>15.56</v>
      </c>
      <c r="K290" s="17">
        <v>20</v>
      </c>
      <c r="L290" s="17">
        <v>10.89</v>
      </c>
      <c r="M290" s="17">
        <v>0</v>
      </c>
    </row>
    <row r="291" s="17" customFormat="1" spans="1:13">
      <c r="A291" s="17" t="s">
        <v>331</v>
      </c>
      <c r="B291" s="17" t="s">
        <v>206</v>
      </c>
      <c r="C291" s="17" t="s">
        <v>207</v>
      </c>
      <c r="D291" s="17">
        <v>92.88</v>
      </c>
      <c r="E291" s="17">
        <v>1861</v>
      </c>
      <c r="F291" s="17">
        <v>34</v>
      </c>
      <c r="G291" s="17">
        <v>1</v>
      </c>
      <c r="H291" s="17">
        <v>92.88</v>
      </c>
      <c r="I291" s="17">
        <v>6</v>
      </c>
      <c r="J291" s="17">
        <v>15.48</v>
      </c>
      <c r="K291" s="17">
        <v>9</v>
      </c>
      <c r="L291" s="17">
        <v>10.32</v>
      </c>
      <c r="M291" s="17">
        <v>60</v>
      </c>
    </row>
    <row r="292" s="17" customFormat="1" spans="1:13">
      <c r="A292" s="17" t="s">
        <v>332</v>
      </c>
      <c r="B292" s="17" t="s">
        <v>206</v>
      </c>
      <c r="C292" s="17" t="s">
        <v>207</v>
      </c>
      <c r="D292" s="17">
        <v>84.34</v>
      </c>
      <c r="E292" s="17">
        <v>1478</v>
      </c>
      <c r="F292" s="17">
        <v>32</v>
      </c>
      <c r="G292" s="17">
        <v>1</v>
      </c>
      <c r="H292" s="17">
        <v>84.34</v>
      </c>
      <c r="I292" s="17">
        <v>8</v>
      </c>
      <c r="J292" s="17">
        <v>10.54</v>
      </c>
      <c r="K292" s="17">
        <v>7</v>
      </c>
      <c r="L292" s="17">
        <v>12.05</v>
      </c>
      <c r="M292" s="17">
        <v>42</v>
      </c>
    </row>
    <row r="293" s="17" customFormat="1" spans="1:13">
      <c r="A293" s="17" t="s">
        <v>333</v>
      </c>
      <c r="B293" s="17" t="s">
        <v>206</v>
      </c>
      <c r="C293" s="17" t="s">
        <v>207</v>
      </c>
      <c r="D293" s="17">
        <v>87.68</v>
      </c>
      <c r="E293" s="17">
        <v>1399</v>
      </c>
      <c r="F293" s="17">
        <v>14</v>
      </c>
      <c r="G293" s="17">
        <v>0</v>
      </c>
      <c r="H293" s="17">
        <v>0</v>
      </c>
      <c r="I293" s="17">
        <v>2</v>
      </c>
      <c r="J293" s="17">
        <v>43.84</v>
      </c>
      <c r="K293" s="17">
        <v>2</v>
      </c>
      <c r="L293" s="17">
        <v>43.84</v>
      </c>
      <c r="M293" s="17">
        <v>6</v>
      </c>
    </row>
    <row r="294" s="17" customFormat="1" spans="1:13">
      <c r="A294" s="17" t="s">
        <v>334</v>
      </c>
      <c r="B294" s="17" t="s">
        <v>206</v>
      </c>
      <c r="C294" s="17" t="s">
        <v>207</v>
      </c>
      <c r="D294" s="17">
        <v>119.5</v>
      </c>
      <c r="E294" s="17">
        <v>1442</v>
      </c>
      <c r="F294" s="17">
        <v>27</v>
      </c>
      <c r="G294" s="17">
        <v>0</v>
      </c>
      <c r="H294" s="17">
        <v>0</v>
      </c>
      <c r="I294" s="17">
        <v>12</v>
      </c>
      <c r="J294" s="17">
        <v>9.96</v>
      </c>
      <c r="K294" s="17">
        <v>12</v>
      </c>
      <c r="L294" s="17">
        <v>9.96</v>
      </c>
      <c r="M294" s="17">
        <v>0</v>
      </c>
    </row>
    <row r="295" s="17" customFormat="1" spans="1:13">
      <c r="A295" s="17" t="s">
        <v>335</v>
      </c>
      <c r="B295" s="17" t="s">
        <v>206</v>
      </c>
      <c r="C295" s="17" t="s">
        <v>207</v>
      </c>
      <c r="D295" s="17">
        <v>83.5</v>
      </c>
      <c r="E295" s="17">
        <v>1075</v>
      </c>
      <c r="F295" s="17">
        <v>25</v>
      </c>
      <c r="G295" s="17">
        <v>0</v>
      </c>
      <c r="H295" s="17">
        <v>0</v>
      </c>
      <c r="I295" s="17">
        <v>7</v>
      </c>
      <c r="J295" s="17">
        <v>11.93</v>
      </c>
      <c r="K295" s="17">
        <v>7</v>
      </c>
      <c r="L295" s="17">
        <v>11.93</v>
      </c>
      <c r="M295" s="17">
        <v>0</v>
      </c>
    </row>
    <row r="296" s="17" customFormat="1" spans="1:13">
      <c r="A296" s="17" t="s">
        <v>336</v>
      </c>
      <c r="B296" s="17" t="s">
        <v>206</v>
      </c>
      <c r="C296" s="17" t="s">
        <v>207</v>
      </c>
      <c r="D296" s="17">
        <v>82.04</v>
      </c>
      <c r="E296" s="17">
        <v>852</v>
      </c>
      <c r="F296" s="17">
        <v>16</v>
      </c>
      <c r="G296" s="17">
        <v>0</v>
      </c>
      <c r="H296" s="17">
        <v>0</v>
      </c>
      <c r="I296" s="17">
        <v>6</v>
      </c>
      <c r="J296" s="17">
        <v>13.67</v>
      </c>
      <c r="K296" s="17">
        <v>6</v>
      </c>
      <c r="L296" s="17">
        <v>13.67</v>
      </c>
      <c r="M296" s="17">
        <v>0</v>
      </c>
    </row>
    <row r="297" s="17" customFormat="1" spans="1:13">
      <c r="A297" s="17" t="s">
        <v>337</v>
      </c>
      <c r="B297" s="17" t="s">
        <v>206</v>
      </c>
      <c r="C297" s="17" t="s">
        <v>207</v>
      </c>
      <c r="D297" s="17">
        <v>57.1</v>
      </c>
      <c r="E297" s="17">
        <v>654</v>
      </c>
      <c r="F297" s="17">
        <v>14</v>
      </c>
      <c r="G297" s="17">
        <v>0</v>
      </c>
      <c r="H297" s="17">
        <v>0</v>
      </c>
      <c r="I297" s="17">
        <v>3</v>
      </c>
      <c r="J297" s="17">
        <v>19.03</v>
      </c>
      <c r="K297" s="17">
        <v>2</v>
      </c>
      <c r="L297" s="17">
        <v>28.55</v>
      </c>
      <c r="M297" s="17">
        <v>0</v>
      </c>
    </row>
    <row r="298" s="17" customFormat="1" spans="1:13">
      <c r="A298" s="17" t="s">
        <v>338</v>
      </c>
      <c r="B298" s="17" t="s">
        <v>206</v>
      </c>
      <c r="C298" s="17" t="s">
        <v>207</v>
      </c>
      <c r="D298" s="17">
        <v>54.1</v>
      </c>
      <c r="E298" s="17">
        <v>470</v>
      </c>
      <c r="F298" s="17">
        <v>15</v>
      </c>
      <c r="G298" s="17">
        <v>0</v>
      </c>
      <c r="H298" s="17">
        <v>0</v>
      </c>
      <c r="I298" s="17">
        <v>3</v>
      </c>
      <c r="J298" s="17">
        <v>18.03</v>
      </c>
      <c r="K298" s="17">
        <v>3</v>
      </c>
      <c r="L298" s="17">
        <v>18.03</v>
      </c>
      <c r="M298" s="17">
        <v>0</v>
      </c>
    </row>
    <row r="299" s="17" customFormat="1" spans="1:13">
      <c r="A299" s="17" t="s">
        <v>339</v>
      </c>
      <c r="B299" s="17" t="s">
        <v>206</v>
      </c>
      <c r="C299" s="17" t="s">
        <v>207</v>
      </c>
      <c r="D299" s="17">
        <v>70.85</v>
      </c>
      <c r="E299" s="17">
        <v>672</v>
      </c>
      <c r="F299" s="17">
        <v>9</v>
      </c>
      <c r="G299" s="17">
        <v>0</v>
      </c>
      <c r="H299" s="17">
        <v>0</v>
      </c>
      <c r="I299" s="17">
        <v>3</v>
      </c>
      <c r="J299" s="17">
        <v>23.62</v>
      </c>
      <c r="K299" s="17">
        <v>4</v>
      </c>
      <c r="L299" s="17">
        <v>17.71</v>
      </c>
      <c r="M299" s="17">
        <v>0</v>
      </c>
    </row>
    <row r="300" s="17" customFormat="1" spans="1:13">
      <c r="A300" s="17" t="s">
        <v>340</v>
      </c>
      <c r="B300" s="17" t="s">
        <v>206</v>
      </c>
      <c r="C300" s="17" t="s">
        <v>207</v>
      </c>
      <c r="D300" s="17">
        <v>75.24</v>
      </c>
      <c r="E300" s="17">
        <v>927</v>
      </c>
      <c r="F300" s="17">
        <v>17</v>
      </c>
      <c r="G300" s="17">
        <v>0</v>
      </c>
      <c r="H300" s="17">
        <v>0</v>
      </c>
      <c r="I300" s="17">
        <v>3</v>
      </c>
      <c r="J300" s="17">
        <v>25.08</v>
      </c>
      <c r="K300" s="17">
        <v>3</v>
      </c>
      <c r="L300" s="17">
        <v>25.08</v>
      </c>
      <c r="M300" s="17">
        <v>0</v>
      </c>
    </row>
    <row r="301" s="17" customFormat="1" spans="1:13">
      <c r="A301" s="17" t="s">
        <v>341</v>
      </c>
      <c r="B301" s="17" t="s">
        <v>206</v>
      </c>
      <c r="C301" s="17" t="s">
        <v>207</v>
      </c>
      <c r="D301" s="17">
        <v>99.64</v>
      </c>
      <c r="E301" s="17">
        <v>1058</v>
      </c>
      <c r="F301" s="17">
        <v>33</v>
      </c>
      <c r="G301" s="17">
        <v>0</v>
      </c>
      <c r="H301" s="17">
        <v>0</v>
      </c>
      <c r="I301" s="17">
        <v>10</v>
      </c>
      <c r="J301" s="17">
        <v>9.96</v>
      </c>
      <c r="K301" s="17">
        <v>10</v>
      </c>
      <c r="L301" s="17">
        <v>9.96</v>
      </c>
      <c r="M301" s="17">
        <v>0</v>
      </c>
    </row>
    <row r="302" s="17" customFormat="1" spans="1:13">
      <c r="A302" s="17" t="s">
        <v>342</v>
      </c>
      <c r="B302" s="17" t="s">
        <v>206</v>
      </c>
      <c r="C302" s="17" t="s">
        <v>207</v>
      </c>
      <c r="D302" s="17">
        <v>82.92</v>
      </c>
      <c r="E302" s="17">
        <v>1004</v>
      </c>
      <c r="F302" s="17">
        <v>20</v>
      </c>
      <c r="G302" s="17">
        <v>0</v>
      </c>
      <c r="H302" s="17">
        <v>0</v>
      </c>
      <c r="I302" s="17">
        <v>5</v>
      </c>
      <c r="J302" s="17">
        <v>16.58</v>
      </c>
      <c r="K302" s="17">
        <v>5</v>
      </c>
      <c r="L302" s="17">
        <v>16.58</v>
      </c>
      <c r="M302" s="17">
        <v>0</v>
      </c>
    </row>
    <row r="303" s="17" customFormat="1" spans="1:13">
      <c r="A303" s="17" t="s">
        <v>343</v>
      </c>
      <c r="B303" s="17" t="s">
        <v>206</v>
      </c>
      <c r="C303" s="17" t="s">
        <v>207</v>
      </c>
      <c r="D303" s="17">
        <v>31.84</v>
      </c>
      <c r="E303" s="17">
        <v>520</v>
      </c>
      <c r="F303" s="17">
        <v>11</v>
      </c>
      <c r="G303" s="17">
        <v>0</v>
      </c>
      <c r="H303" s="17">
        <v>0</v>
      </c>
      <c r="I303" s="17">
        <v>4</v>
      </c>
      <c r="J303" s="17">
        <v>7.96</v>
      </c>
      <c r="K303" s="17">
        <v>4</v>
      </c>
      <c r="L303" s="17">
        <v>7.96</v>
      </c>
      <c r="M303" s="17">
        <v>0</v>
      </c>
    </row>
    <row r="304" s="17" customFormat="1" spans="1:13">
      <c r="A304" s="17" t="s">
        <v>344</v>
      </c>
      <c r="B304" s="17" t="s">
        <v>206</v>
      </c>
      <c r="C304" s="17" t="s">
        <v>207</v>
      </c>
      <c r="D304" s="17">
        <v>14.76</v>
      </c>
      <c r="E304" s="17">
        <v>315</v>
      </c>
      <c r="F304" s="17">
        <v>4</v>
      </c>
      <c r="G304" s="17">
        <v>1</v>
      </c>
      <c r="H304" s="17">
        <v>14.76</v>
      </c>
      <c r="I304" s="17">
        <v>0</v>
      </c>
      <c r="J304" s="17">
        <v>0</v>
      </c>
      <c r="K304" s="17">
        <v>1</v>
      </c>
      <c r="L304" s="17">
        <v>14.76</v>
      </c>
      <c r="M304" s="17">
        <v>30</v>
      </c>
    </row>
    <row r="305" s="17" customFormat="1" spans="1:13">
      <c r="A305" s="17" t="s">
        <v>345</v>
      </c>
      <c r="B305" s="17" t="s">
        <v>206</v>
      </c>
      <c r="C305" s="17" t="s">
        <v>207</v>
      </c>
      <c r="D305" s="17">
        <v>11.93</v>
      </c>
      <c r="E305" s="17">
        <v>239</v>
      </c>
      <c r="F305" s="17">
        <v>7</v>
      </c>
      <c r="G305" s="17">
        <v>0</v>
      </c>
      <c r="H305" s="17">
        <v>0</v>
      </c>
      <c r="I305" s="17">
        <v>3</v>
      </c>
      <c r="J305" s="17">
        <v>3.98</v>
      </c>
      <c r="K305" s="17">
        <v>3</v>
      </c>
      <c r="L305" s="17">
        <v>3.98</v>
      </c>
      <c r="M305" s="17">
        <v>168</v>
      </c>
    </row>
    <row r="306" s="17" customFormat="1" spans="1:13">
      <c r="A306" s="17" t="s">
        <v>346</v>
      </c>
      <c r="B306" s="17" t="s">
        <v>206</v>
      </c>
      <c r="C306" s="17" t="s">
        <v>207</v>
      </c>
      <c r="D306" s="17">
        <v>8.41</v>
      </c>
      <c r="E306" s="17">
        <v>190</v>
      </c>
      <c r="F306" s="17">
        <v>3</v>
      </c>
      <c r="G306" s="17">
        <v>0</v>
      </c>
      <c r="H306" s="17">
        <v>0</v>
      </c>
      <c r="I306" s="17">
        <v>1</v>
      </c>
      <c r="J306" s="17">
        <v>8.41</v>
      </c>
      <c r="K306" s="17">
        <v>2</v>
      </c>
      <c r="L306" s="17">
        <v>4.21</v>
      </c>
      <c r="M306" s="17">
        <v>0</v>
      </c>
    </row>
    <row r="307" s="17" customFormat="1" spans="1:13">
      <c r="A307" s="17" t="s">
        <v>347</v>
      </c>
      <c r="B307" s="17" t="s">
        <v>206</v>
      </c>
      <c r="C307" s="17" t="s">
        <v>207</v>
      </c>
      <c r="D307" s="17">
        <v>1.44</v>
      </c>
      <c r="E307" s="17">
        <v>25</v>
      </c>
      <c r="F307" s="17">
        <v>0</v>
      </c>
      <c r="G307" s="17">
        <v>0</v>
      </c>
      <c r="H307" s="17">
        <v>0</v>
      </c>
      <c r="I307" s="17">
        <v>0</v>
      </c>
      <c r="J307" s="17">
        <v>0</v>
      </c>
      <c r="K307" s="17">
        <v>0</v>
      </c>
      <c r="L307" s="17">
        <v>0</v>
      </c>
      <c r="M307" s="17">
        <v>0</v>
      </c>
    </row>
    <row r="308" s="17" customFormat="1" spans="1:13">
      <c r="A308" s="17" t="s">
        <v>348</v>
      </c>
      <c r="B308" s="17" t="s">
        <v>206</v>
      </c>
      <c r="C308" s="17" t="s">
        <v>207</v>
      </c>
      <c r="D308" s="17">
        <v>0</v>
      </c>
      <c r="E308" s="17">
        <v>5</v>
      </c>
      <c r="F308" s="17">
        <v>0</v>
      </c>
      <c r="G308" s="17">
        <v>0</v>
      </c>
      <c r="H308" s="17">
        <v>0</v>
      </c>
      <c r="I308" s="17">
        <v>1</v>
      </c>
      <c r="J308" s="17">
        <v>0</v>
      </c>
      <c r="K308" s="17">
        <v>1</v>
      </c>
      <c r="L308" s="17">
        <v>0</v>
      </c>
      <c r="M308" s="17">
        <v>0</v>
      </c>
    </row>
    <row r="309" s="17" customFormat="1" spans="1:13">
      <c r="A309" s="17" t="s">
        <v>349</v>
      </c>
      <c r="B309" s="17" t="s">
        <v>206</v>
      </c>
      <c r="C309" s="17" t="s">
        <v>207</v>
      </c>
      <c r="D309" s="17">
        <v>0</v>
      </c>
      <c r="E309" s="17">
        <v>5</v>
      </c>
      <c r="F309" s="17">
        <v>0</v>
      </c>
      <c r="G309" s="17">
        <v>0</v>
      </c>
      <c r="H309" s="17">
        <v>0</v>
      </c>
      <c r="I309" s="17">
        <v>0</v>
      </c>
      <c r="J309" s="17">
        <v>0</v>
      </c>
      <c r="K309" s="17">
        <v>0</v>
      </c>
      <c r="L309" s="17">
        <v>0</v>
      </c>
      <c r="M309" s="17">
        <v>0</v>
      </c>
    </row>
    <row r="310" s="17" customFormat="1" spans="1:13">
      <c r="A310" s="17" t="s">
        <v>350</v>
      </c>
      <c r="B310" s="17" t="s">
        <v>206</v>
      </c>
      <c r="C310" s="17" t="s">
        <v>207</v>
      </c>
      <c r="D310" s="17">
        <v>0</v>
      </c>
      <c r="E310" s="17">
        <v>1</v>
      </c>
      <c r="F310" s="17">
        <v>0</v>
      </c>
      <c r="G310" s="17">
        <v>0</v>
      </c>
      <c r="H310" s="17">
        <v>0</v>
      </c>
      <c r="I310" s="17">
        <v>0</v>
      </c>
      <c r="J310" s="17">
        <v>0</v>
      </c>
      <c r="K310" s="17">
        <v>0</v>
      </c>
      <c r="L310" s="17">
        <v>0</v>
      </c>
      <c r="M310" s="17">
        <v>0</v>
      </c>
    </row>
    <row r="311" s="17" customFormat="1" spans="1:13">
      <c r="A311" s="17" t="s">
        <v>351</v>
      </c>
      <c r="B311" s="17" t="s">
        <v>206</v>
      </c>
      <c r="C311" s="17" t="s">
        <v>207</v>
      </c>
      <c r="D311" s="17">
        <v>20.7</v>
      </c>
      <c r="E311" s="17">
        <v>252</v>
      </c>
      <c r="F311" s="17">
        <v>5</v>
      </c>
      <c r="G311" s="17">
        <v>0</v>
      </c>
      <c r="H311" s="17">
        <v>0</v>
      </c>
      <c r="I311" s="17">
        <v>0</v>
      </c>
      <c r="J311" s="17">
        <v>0</v>
      </c>
      <c r="K311" s="17">
        <v>0</v>
      </c>
      <c r="L311" s="17">
        <v>0</v>
      </c>
      <c r="M311" s="17">
        <v>0</v>
      </c>
    </row>
    <row r="312" s="17" customFormat="1" spans="1:13">
      <c r="A312" s="17" t="s">
        <v>352</v>
      </c>
      <c r="B312" s="17" t="s">
        <v>206</v>
      </c>
      <c r="C312" s="17" t="s">
        <v>207</v>
      </c>
      <c r="D312" s="17">
        <v>52.42</v>
      </c>
      <c r="E312" s="17">
        <v>683</v>
      </c>
      <c r="F312" s="17">
        <v>15</v>
      </c>
      <c r="G312" s="17">
        <v>0</v>
      </c>
      <c r="H312" s="17">
        <v>0</v>
      </c>
      <c r="I312" s="17">
        <v>2</v>
      </c>
      <c r="J312" s="17">
        <v>26.21</v>
      </c>
      <c r="K312" s="17">
        <v>5</v>
      </c>
      <c r="L312" s="17">
        <v>10.48</v>
      </c>
      <c r="M312" s="17">
        <v>0</v>
      </c>
    </row>
    <row r="313" s="17" customFormat="1" spans="1:13">
      <c r="A313" s="17" t="s">
        <v>353</v>
      </c>
      <c r="B313" s="17" t="s">
        <v>206</v>
      </c>
      <c r="C313" s="17" t="s">
        <v>207</v>
      </c>
      <c r="D313" s="17">
        <v>68.76</v>
      </c>
      <c r="E313" s="17">
        <v>901</v>
      </c>
      <c r="F313" s="17">
        <v>32</v>
      </c>
      <c r="G313" s="17">
        <v>1</v>
      </c>
      <c r="H313" s="17">
        <v>68.76</v>
      </c>
      <c r="I313" s="17">
        <v>13</v>
      </c>
      <c r="J313" s="17">
        <v>5.29</v>
      </c>
      <c r="K313" s="17">
        <v>12</v>
      </c>
      <c r="L313" s="17">
        <v>5.73</v>
      </c>
      <c r="M313" s="17">
        <v>100</v>
      </c>
    </row>
    <row r="314" s="17" customFormat="1" spans="1:13">
      <c r="A314" s="17" t="s">
        <v>354</v>
      </c>
      <c r="B314" s="17" t="s">
        <v>206</v>
      </c>
      <c r="C314" s="17" t="s">
        <v>207</v>
      </c>
      <c r="D314" s="17">
        <v>96.46</v>
      </c>
      <c r="E314" s="17">
        <v>1031</v>
      </c>
      <c r="F314" s="17">
        <v>25</v>
      </c>
      <c r="G314" s="17">
        <v>0</v>
      </c>
      <c r="H314" s="17">
        <v>0</v>
      </c>
      <c r="I314" s="17">
        <v>8</v>
      </c>
      <c r="J314" s="17">
        <v>12.06</v>
      </c>
      <c r="K314" s="17">
        <v>10</v>
      </c>
      <c r="L314" s="17">
        <v>9.65</v>
      </c>
      <c r="M314" s="17">
        <v>177.9</v>
      </c>
    </row>
    <row r="315" s="17" customFormat="1" spans="1:13">
      <c r="A315" s="17" t="s">
        <v>355</v>
      </c>
      <c r="B315" s="17" t="s">
        <v>206</v>
      </c>
      <c r="C315" s="17" t="s">
        <v>207</v>
      </c>
      <c r="D315" s="17">
        <v>134.95</v>
      </c>
      <c r="E315" s="17">
        <v>1456</v>
      </c>
      <c r="F315" s="17">
        <v>34</v>
      </c>
      <c r="G315" s="17">
        <v>0</v>
      </c>
      <c r="H315" s="17">
        <v>0</v>
      </c>
      <c r="I315" s="17">
        <v>6</v>
      </c>
      <c r="J315" s="17">
        <v>22.49</v>
      </c>
      <c r="K315" s="17">
        <v>9</v>
      </c>
      <c r="L315" s="17">
        <v>14.99</v>
      </c>
      <c r="M315" s="17">
        <v>12</v>
      </c>
    </row>
    <row r="316" s="17" customFormat="1" spans="1:13">
      <c r="A316" s="17" t="s">
        <v>356</v>
      </c>
      <c r="B316" s="17" t="s">
        <v>206</v>
      </c>
      <c r="C316" s="17" t="s">
        <v>207</v>
      </c>
      <c r="D316" s="17">
        <v>130.39</v>
      </c>
      <c r="E316" s="17">
        <v>1503</v>
      </c>
      <c r="F316" s="17">
        <v>33</v>
      </c>
      <c r="G316" s="17">
        <v>1</v>
      </c>
      <c r="H316" s="17">
        <v>130.39</v>
      </c>
      <c r="I316" s="17">
        <v>8</v>
      </c>
      <c r="J316" s="17">
        <v>16.3</v>
      </c>
      <c r="K316" s="17">
        <v>10</v>
      </c>
      <c r="L316" s="17">
        <v>13.04</v>
      </c>
      <c r="M316" s="17">
        <v>12</v>
      </c>
    </row>
    <row r="317" s="17" customFormat="1" spans="1:13">
      <c r="A317" s="17" t="s">
        <v>357</v>
      </c>
      <c r="B317" s="17" t="s">
        <v>206</v>
      </c>
      <c r="C317" s="17" t="s">
        <v>207</v>
      </c>
      <c r="D317" s="17">
        <v>139.45</v>
      </c>
      <c r="E317" s="17">
        <v>1543</v>
      </c>
      <c r="F317" s="17">
        <v>40</v>
      </c>
      <c r="G317" s="17">
        <v>1</v>
      </c>
      <c r="H317" s="17">
        <v>139.45</v>
      </c>
      <c r="I317" s="17">
        <v>9</v>
      </c>
      <c r="J317" s="17">
        <v>15.49</v>
      </c>
      <c r="K317" s="17">
        <v>9</v>
      </c>
      <c r="L317" s="17">
        <v>15.49</v>
      </c>
      <c r="M317" s="17">
        <v>21.9</v>
      </c>
    </row>
    <row r="318" s="17" customFormat="1" spans="1:13">
      <c r="A318" s="17" t="s">
        <v>358</v>
      </c>
      <c r="B318" s="17" t="s">
        <v>206</v>
      </c>
      <c r="C318" s="17" t="s">
        <v>207</v>
      </c>
      <c r="D318" s="17">
        <v>168.63</v>
      </c>
      <c r="E318" s="17">
        <v>1577</v>
      </c>
      <c r="F318" s="17">
        <v>34</v>
      </c>
      <c r="G318" s="17">
        <v>0</v>
      </c>
      <c r="H318" s="17">
        <v>0</v>
      </c>
      <c r="I318" s="17">
        <v>6</v>
      </c>
      <c r="J318" s="17">
        <v>28.11</v>
      </c>
      <c r="K318" s="17">
        <v>7</v>
      </c>
      <c r="L318" s="17">
        <v>24.09</v>
      </c>
      <c r="M318" s="17">
        <v>0</v>
      </c>
    </row>
    <row r="319" s="17" customFormat="1" spans="1:13">
      <c r="A319" s="17" t="s">
        <v>359</v>
      </c>
      <c r="B319" s="17" t="s">
        <v>206</v>
      </c>
      <c r="C319" s="17" t="s">
        <v>207</v>
      </c>
      <c r="D319" s="17">
        <v>108.5</v>
      </c>
      <c r="E319" s="17">
        <v>1104</v>
      </c>
      <c r="F319" s="17">
        <v>17</v>
      </c>
      <c r="G319" s="17">
        <v>1</v>
      </c>
      <c r="H319" s="17">
        <v>108.5</v>
      </c>
      <c r="I319" s="17">
        <v>6</v>
      </c>
      <c r="J319" s="17">
        <v>18.08</v>
      </c>
      <c r="K319" s="17">
        <v>6</v>
      </c>
      <c r="L319" s="17">
        <v>18.08</v>
      </c>
      <c r="M319" s="17">
        <v>42</v>
      </c>
    </row>
    <row r="320" s="17" customFormat="1" spans="1:13">
      <c r="A320" s="17" t="s">
        <v>360</v>
      </c>
      <c r="B320" s="17" t="s">
        <v>206</v>
      </c>
      <c r="C320" s="17" t="s">
        <v>207</v>
      </c>
      <c r="D320" s="17">
        <v>135.36</v>
      </c>
      <c r="E320" s="17">
        <v>1167</v>
      </c>
      <c r="F320" s="17">
        <v>34</v>
      </c>
      <c r="G320" s="17">
        <v>1</v>
      </c>
      <c r="H320" s="17">
        <v>135.36</v>
      </c>
      <c r="I320" s="17">
        <v>5</v>
      </c>
      <c r="J320" s="17">
        <v>27.07</v>
      </c>
      <c r="K320" s="17">
        <v>8</v>
      </c>
      <c r="L320" s="17">
        <v>16.92</v>
      </c>
      <c r="M320" s="17">
        <v>36</v>
      </c>
    </row>
    <row r="321" s="17" customFormat="1" spans="1:13">
      <c r="A321" s="17" t="s">
        <v>361</v>
      </c>
      <c r="B321" s="17" t="s">
        <v>206</v>
      </c>
      <c r="C321" s="17" t="s">
        <v>207</v>
      </c>
      <c r="D321" s="17">
        <v>82.51</v>
      </c>
      <c r="E321" s="17">
        <v>831</v>
      </c>
      <c r="F321" s="17">
        <v>23</v>
      </c>
      <c r="G321" s="17">
        <v>0</v>
      </c>
      <c r="H321" s="17">
        <v>0</v>
      </c>
      <c r="I321" s="17">
        <v>7</v>
      </c>
      <c r="J321" s="17">
        <v>11.79</v>
      </c>
      <c r="K321" s="17">
        <v>7</v>
      </c>
      <c r="L321" s="17">
        <v>11.79</v>
      </c>
      <c r="M321" s="17">
        <v>0</v>
      </c>
    </row>
    <row r="322" s="17" customFormat="1" spans="1:13">
      <c r="A322" s="17" t="s">
        <v>362</v>
      </c>
      <c r="B322" s="17" t="s">
        <v>206</v>
      </c>
      <c r="C322" s="17" t="s">
        <v>207</v>
      </c>
      <c r="D322" s="17">
        <v>90.7</v>
      </c>
      <c r="E322" s="17">
        <v>860</v>
      </c>
      <c r="F322" s="17">
        <v>27</v>
      </c>
      <c r="G322" s="17">
        <v>1</v>
      </c>
      <c r="H322" s="17">
        <v>90.7</v>
      </c>
      <c r="I322" s="17">
        <v>6</v>
      </c>
      <c r="J322" s="17">
        <v>15.12</v>
      </c>
      <c r="K322" s="17">
        <v>6</v>
      </c>
      <c r="L322" s="17">
        <v>15.12</v>
      </c>
      <c r="M322" s="17">
        <v>30</v>
      </c>
    </row>
    <row r="323" s="17" customFormat="1" spans="1:13">
      <c r="A323" s="17" t="s">
        <v>363</v>
      </c>
      <c r="B323" s="17" t="s">
        <v>206</v>
      </c>
      <c r="C323" s="17" t="s">
        <v>207</v>
      </c>
      <c r="D323" s="17">
        <v>98.61</v>
      </c>
      <c r="E323" s="17">
        <v>1016</v>
      </c>
      <c r="F323" s="17">
        <v>20</v>
      </c>
      <c r="G323" s="17">
        <v>0</v>
      </c>
      <c r="H323" s="17">
        <v>0</v>
      </c>
      <c r="I323" s="17">
        <v>6</v>
      </c>
      <c r="J323" s="17">
        <v>16.44</v>
      </c>
      <c r="K323" s="17">
        <v>7</v>
      </c>
      <c r="L323" s="17">
        <v>14.09</v>
      </c>
      <c r="M323" s="17">
        <v>0</v>
      </c>
    </row>
    <row r="324" s="17" customFormat="1" spans="1:13">
      <c r="A324" s="17" t="s">
        <v>364</v>
      </c>
      <c r="B324" s="17" t="s">
        <v>206</v>
      </c>
      <c r="C324" s="17" t="s">
        <v>207</v>
      </c>
      <c r="D324" s="17">
        <v>205.56</v>
      </c>
      <c r="E324" s="17">
        <v>2218</v>
      </c>
      <c r="F324" s="17">
        <v>59</v>
      </c>
      <c r="G324" s="17">
        <v>1</v>
      </c>
      <c r="H324" s="17">
        <v>205.56</v>
      </c>
      <c r="I324" s="17">
        <v>7</v>
      </c>
      <c r="J324" s="17">
        <v>29.37</v>
      </c>
      <c r="K324" s="17">
        <v>9</v>
      </c>
      <c r="L324" s="17">
        <v>22.84</v>
      </c>
      <c r="M324" s="17">
        <v>134</v>
      </c>
    </row>
    <row r="325" s="17" customFormat="1" spans="1:13">
      <c r="A325" s="17" t="s">
        <v>365</v>
      </c>
      <c r="B325" s="17" t="s">
        <v>206</v>
      </c>
      <c r="C325" s="17" t="s">
        <v>207</v>
      </c>
      <c r="D325" s="17">
        <v>417.38</v>
      </c>
      <c r="E325" s="17">
        <v>5127</v>
      </c>
      <c r="F325" s="17">
        <v>104</v>
      </c>
      <c r="G325" s="17">
        <v>2</v>
      </c>
      <c r="H325" s="17">
        <v>208.69</v>
      </c>
      <c r="I325" s="17">
        <v>12</v>
      </c>
      <c r="J325" s="17">
        <v>34.78</v>
      </c>
      <c r="K325" s="17">
        <v>14</v>
      </c>
      <c r="L325" s="17">
        <v>29.81</v>
      </c>
      <c r="M325" s="17">
        <v>51.9</v>
      </c>
    </row>
    <row r="326" s="17" customFormat="1" spans="1:13">
      <c r="A326" s="17" t="s">
        <v>366</v>
      </c>
      <c r="B326" s="17" t="s">
        <v>206</v>
      </c>
      <c r="C326" s="17" t="s">
        <v>207</v>
      </c>
      <c r="D326" s="17">
        <v>453.99</v>
      </c>
      <c r="E326" s="17">
        <v>4527</v>
      </c>
      <c r="F326" s="17">
        <v>177</v>
      </c>
      <c r="G326" s="17">
        <v>0</v>
      </c>
      <c r="H326" s="17">
        <v>0</v>
      </c>
      <c r="I326" s="17">
        <v>13</v>
      </c>
      <c r="J326" s="17">
        <v>34.92</v>
      </c>
      <c r="K326" s="17">
        <v>16</v>
      </c>
      <c r="L326" s="17">
        <v>28.37</v>
      </c>
      <c r="M326" s="17">
        <v>328</v>
      </c>
    </row>
    <row r="327" s="17" customFormat="1" spans="1:13">
      <c r="A327" s="17" t="s">
        <v>367</v>
      </c>
      <c r="B327" s="17" t="s">
        <v>206</v>
      </c>
      <c r="C327" s="17" t="s">
        <v>207</v>
      </c>
      <c r="D327" s="17">
        <v>195.34</v>
      </c>
      <c r="E327" s="17">
        <v>2566</v>
      </c>
      <c r="F327" s="17">
        <v>93</v>
      </c>
      <c r="G327" s="17">
        <v>1</v>
      </c>
      <c r="H327" s="17">
        <v>195.34</v>
      </c>
      <c r="I327" s="17">
        <v>23</v>
      </c>
      <c r="J327" s="17">
        <v>8.49</v>
      </c>
      <c r="K327" s="17">
        <v>24</v>
      </c>
      <c r="L327" s="17">
        <v>8.14</v>
      </c>
      <c r="M327" s="17">
        <v>334</v>
      </c>
    </row>
    <row r="328" s="17" customFormat="1" spans="1:13">
      <c r="A328" s="17" t="s">
        <v>368</v>
      </c>
      <c r="B328" s="17" t="s">
        <v>206</v>
      </c>
      <c r="C328" s="17" t="s">
        <v>207</v>
      </c>
      <c r="D328" s="17">
        <v>268.18</v>
      </c>
      <c r="E328" s="17">
        <v>2660</v>
      </c>
      <c r="F328" s="17">
        <v>64</v>
      </c>
      <c r="G328" s="17">
        <v>1</v>
      </c>
      <c r="H328" s="17">
        <v>268.18</v>
      </c>
      <c r="I328" s="17">
        <v>5</v>
      </c>
      <c r="J328" s="17">
        <v>53.64</v>
      </c>
      <c r="K328" s="17">
        <v>5</v>
      </c>
      <c r="L328" s="17">
        <v>53.64</v>
      </c>
      <c r="M328" s="17">
        <v>6</v>
      </c>
    </row>
    <row r="329" s="17" customFormat="1" spans="1:13">
      <c r="A329" s="17" t="s">
        <v>369</v>
      </c>
      <c r="B329" s="17" t="s">
        <v>206</v>
      </c>
      <c r="C329" s="17" t="s">
        <v>207</v>
      </c>
      <c r="D329" s="17">
        <v>91.42</v>
      </c>
      <c r="E329" s="17">
        <v>1388</v>
      </c>
      <c r="F329" s="17">
        <v>31</v>
      </c>
      <c r="G329" s="17">
        <v>1</v>
      </c>
      <c r="H329" s="17">
        <v>91.42</v>
      </c>
      <c r="I329" s="17">
        <v>9</v>
      </c>
      <c r="J329" s="17">
        <v>10.16</v>
      </c>
      <c r="K329" s="17">
        <v>12</v>
      </c>
      <c r="L329" s="17">
        <v>7.62</v>
      </c>
      <c r="M329" s="17">
        <v>30</v>
      </c>
    </row>
    <row r="330" s="17" customFormat="1" spans="1:13">
      <c r="A330" s="17" t="s">
        <v>370</v>
      </c>
      <c r="B330" s="17" t="s">
        <v>206</v>
      </c>
      <c r="C330" s="17" t="s">
        <v>207</v>
      </c>
      <c r="D330" s="17">
        <v>10.74</v>
      </c>
      <c r="E330" s="17">
        <v>157</v>
      </c>
      <c r="F330" s="17">
        <v>2</v>
      </c>
      <c r="G330" s="17">
        <v>1</v>
      </c>
      <c r="H330" s="17">
        <v>10.74</v>
      </c>
      <c r="I330" s="17">
        <v>1</v>
      </c>
      <c r="J330" s="17">
        <v>10.74</v>
      </c>
      <c r="K330" s="17">
        <v>0</v>
      </c>
      <c r="L330" s="17">
        <v>0</v>
      </c>
      <c r="M330" s="17">
        <v>42</v>
      </c>
    </row>
    <row r="331" s="17" customFormat="1" spans="1:13">
      <c r="A331" s="17" t="s">
        <v>371</v>
      </c>
      <c r="B331" s="17" t="s">
        <v>206</v>
      </c>
      <c r="C331" s="17" t="s">
        <v>207</v>
      </c>
      <c r="D331" s="17">
        <v>6.39</v>
      </c>
      <c r="E331" s="17">
        <v>147</v>
      </c>
      <c r="F331" s="17">
        <v>3</v>
      </c>
      <c r="G331" s="17">
        <v>1</v>
      </c>
      <c r="H331" s="17">
        <v>6.39</v>
      </c>
      <c r="I331" s="17">
        <v>2</v>
      </c>
      <c r="J331" s="17">
        <v>3.2</v>
      </c>
      <c r="K331" s="17">
        <v>2</v>
      </c>
      <c r="L331" s="17">
        <v>3.2</v>
      </c>
      <c r="M331" s="17">
        <v>6</v>
      </c>
    </row>
    <row r="332" s="17" customFormat="1" spans="1:13">
      <c r="A332" s="17" t="s">
        <v>372</v>
      </c>
      <c r="B332" s="17" t="s">
        <v>206</v>
      </c>
      <c r="C332" s="17" t="s">
        <v>207</v>
      </c>
      <c r="D332" s="17">
        <v>0</v>
      </c>
      <c r="E332" s="17">
        <v>27</v>
      </c>
      <c r="F332" s="17">
        <v>0</v>
      </c>
      <c r="G332" s="17">
        <v>0</v>
      </c>
      <c r="H332" s="17">
        <v>0</v>
      </c>
      <c r="I332" s="17">
        <v>1</v>
      </c>
      <c r="J332" s="17">
        <v>0</v>
      </c>
      <c r="K332" s="17">
        <v>1</v>
      </c>
      <c r="L332" s="17">
        <v>0</v>
      </c>
      <c r="M332" s="17">
        <v>0</v>
      </c>
    </row>
    <row r="333" s="17" customFormat="1" spans="1:13">
      <c r="A333" s="17" t="s">
        <v>373</v>
      </c>
      <c r="B333" s="17" t="s">
        <v>206</v>
      </c>
      <c r="C333" s="17" t="s">
        <v>207</v>
      </c>
      <c r="D333" s="17">
        <v>17.43</v>
      </c>
      <c r="E333" s="17">
        <v>143</v>
      </c>
      <c r="F333" s="17">
        <v>2</v>
      </c>
      <c r="G333" s="17">
        <v>0</v>
      </c>
      <c r="H333" s="17">
        <v>0</v>
      </c>
      <c r="I333" s="17">
        <v>2</v>
      </c>
      <c r="J333" s="17">
        <v>8.72</v>
      </c>
      <c r="K333" s="17">
        <v>2</v>
      </c>
      <c r="L333" s="17">
        <v>8.72</v>
      </c>
      <c r="M333" s="17">
        <v>0</v>
      </c>
    </row>
    <row r="334" s="17" customFormat="1" spans="1:13">
      <c r="A334" s="17" t="s">
        <v>374</v>
      </c>
      <c r="B334" s="17" t="s">
        <v>206</v>
      </c>
      <c r="C334" s="17" t="s">
        <v>207</v>
      </c>
      <c r="D334" s="17">
        <v>291</v>
      </c>
      <c r="E334" s="17">
        <v>2467</v>
      </c>
      <c r="F334" s="17">
        <v>58</v>
      </c>
      <c r="G334" s="17">
        <v>4</v>
      </c>
      <c r="H334" s="17">
        <v>72.75</v>
      </c>
      <c r="I334" s="17">
        <v>16</v>
      </c>
      <c r="J334" s="17">
        <v>18.19</v>
      </c>
      <c r="K334" s="17">
        <v>17</v>
      </c>
      <c r="L334" s="17">
        <v>17.12</v>
      </c>
      <c r="M334" s="17">
        <v>72</v>
      </c>
    </row>
    <row r="335" s="17" customFormat="1" spans="1:13">
      <c r="A335" s="17" t="s">
        <v>375</v>
      </c>
      <c r="B335" s="17" t="s">
        <v>206</v>
      </c>
      <c r="C335" s="17" t="s">
        <v>207</v>
      </c>
      <c r="D335" s="17">
        <v>184.75</v>
      </c>
      <c r="E335" s="17">
        <v>2443</v>
      </c>
      <c r="F335" s="17">
        <v>49</v>
      </c>
      <c r="G335" s="17">
        <v>1</v>
      </c>
      <c r="H335" s="17">
        <v>184.75</v>
      </c>
      <c r="I335" s="17">
        <v>11</v>
      </c>
      <c r="J335" s="17">
        <v>16.8</v>
      </c>
      <c r="K335" s="17">
        <v>12</v>
      </c>
      <c r="L335" s="17">
        <v>15.4</v>
      </c>
      <c r="M335" s="17">
        <v>45.9</v>
      </c>
    </row>
    <row r="336" s="17" customFormat="1" spans="1:13">
      <c r="A336" s="17" t="s">
        <v>376</v>
      </c>
      <c r="B336" s="17" t="s">
        <v>206</v>
      </c>
      <c r="C336" s="17" t="s">
        <v>207</v>
      </c>
      <c r="D336" s="17">
        <v>277.54</v>
      </c>
      <c r="E336" s="17">
        <v>2406</v>
      </c>
      <c r="F336" s="17">
        <v>70</v>
      </c>
      <c r="G336" s="17">
        <v>1</v>
      </c>
      <c r="H336" s="17">
        <v>277.54</v>
      </c>
      <c r="I336" s="17">
        <v>25</v>
      </c>
      <c r="J336" s="17">
        <v>11.1</v>
      </c>
      <c r="K336" s="17">
        <v>26</v>
      </c>
      <c r="L336" s="17">
        <v>10.67</v>
      </c>
      <c r="M336" s="17">
        <v>9.9</v>
      </c>
    </row>
    <row r="337" s="17" customFormat="1" spans="1:13">
      <c r="A337" s="17" t="s">
        <v>377</v>
      </c>
      <c r="B337" s="17" t="s">
        <v>206</v>
      </c>
      <c r="C337" s="17" t="s">
        <v>207</v>
      </c>
      <c r="D337" s="17">
        <v>374.57</v>
      </c>
      <c r="E337" s="17">
        <v>3463</v>
      </c>
      <c r="F337" s="17">
        <v>86</v>
      </c>
      <c r="G337" s="17">
        <v>1</v>
      </c>
      <c r="H337" s="17">
        <v>374.57</v>
      </c>
      <c r="I337" s="17">
        <v>26</v>
      </c>
      <c r="J337" s="17">
        <v>14.41</v>
      </c>
      <c r="K337" s="17">
        <v>28</v>
      </c>
      <c r="L337" s="17">
        <v>13.38</v>
      </c>
      <c r="M337" s="17">
        <v>30</v>
      </c>
    </row>
    <row r="338" s="17" customFormat="1" spans="1:13">
      <c r="A338" s="17" t="s">
        <v>378</v>
      </c>
      <c r="B338" s="17" t="s">
        <v>206</v>
      </c>
      <c r="C338" s="17" t="s">
        <v>207</v>
      </c>
      <c r="D338" s="17">
        <v>457.83</v>
      </c>
      <c r="E338" s="17">
        <v>4481</v>
      </c>
      <c r="F338" s="17">
        <v>128</v>
      </c>
      <c r="G338" s="17">
        <v>2</v>
      </c>
      <c r="H338" s="17">
        <v>228.92</v>
      </c>
      <c r="I338" s="17">
        <v>30</v>
      </c>
      <c r="J338" s="17">
        <v>15.26</v>
      </c>
      <c r="K338" s="17">
        <v>33</v>
      </c>
      <c r="L338" s="17">
        <v>13.87</v>
      </c>
      <c r="M338" s="17">
        <v>105.9</v>
      </c>
    </row>
    <row r="339" s="17" customFormat="1" spans="1:13">
      <c r="A339" s="17" t="s">
        <v>379</v>
      </c>
      <c r="B339" s="17" t="s">
        <v>206</v>
      </c>
      <c r="C339" s="17" t="s">
        <v>207</v>
      </c>
      <c r="D339" s="17">
        <v>315.39</v>
      </c>
      <c r="E339" s="17">
        <v>3202</v>
      </c>
      <c r="F339" s="17">
        <v>72</v>
      </c>
      <c r="G339" s="17">
        <v>0</v>
      </c>
      <c r="H339" s="17">
        <v>0</v>
      </c>
      <c r="I339" s="17">
        <v>29</v>
      </c>
      <c r="J339" s="17">
        <v>10.88</v>
      </c>
      <c r="K339" s="17">
        <v>32</v>
      </c>
      <c r="L339" s="17">
        <v>9.86</v>
      </c>
      <c r="M339" s="17">
        <v>0</v>
      </c>
    </row>
    <row r="340" s="17" customFormat="1" spans="1:13">
      <c r="A340" s="17" t="s">
        <v>380</v>
      </c>
      <c r="B340" s="17" t="s">
        <v>206</v>
      </c>
      <c r="C340" s="17" t="s">
        <v>207</v>
      </c>
      <c r="D340" s="17">
        <v>277.73</v>
      </c>
      <c r="E340" s="17">
        <v>3245</v>
      </c>
      <c r="F340" s="17">
        <v>55</v>
      </c>
      <c r="G340" s="17">
        <v>0</v>
      </c>
      <c r="H340" s="17">
        <v>0</v>
      </c>
      <c r="I340" s="17">
        <v>14</v>
      </c>
      <c r="J340" s="17">
        <v>19.84</v>
      </c>
      <c r="K340" s="17">
        <v>16</v>
      </c>
      <c r="L340" s="17">
        <v>17.36</v>
      </c>
      <c r="M340" s="17">
        <v>0</v>
      </c>
    </row>
    <row r="341" s="17" customFormat="1" spans="1:13">
      <c r="A341" s="17" t="s">
        <v>381</v>
      </c>
      <c r="B341" s="17" t="s">
        <v>206</v>
      </c>
      <c r="C341" s="17" t="s">
        <v>207</v>
      </c>
      <c r="D341" s="17">
        <v>161.72</v>
      </c>
      <c r="E341" s="17">
        <v>2076</v>
      </c>
      <c r="F341" s="17">
        <v>35</v>
      </c>
      <c r="G341" s="17">
        <v>0</v>
      </c>
      <c r="H341" s="17">
        <v>0</v>
      </c>
      <c r="I341" s="17">
        <v>11</v>
      </c>
      <c r="J341" s="17">
        <v>14.7</v>
      </c>
      <c r="K341" s="17">
        <v>11</v>
      </c>
      <c r="L341" s="17">
        <v>14.7</v>
      </c>
      <c r="M341" s="17">
        <v>0</v>
      </c>
    </row>
    <row r="342" s="17" customFormat="1" spans="1:13">
      <c r="A342" s="17" t="s">
        <v>214</v>
      </c>
      <c r="B342" s="17" t="s">
        <v>208</v>
      </c>
      <c r="C342" s="17" t="s">
        <v>209</v>
      </c>
      <c r="D342" s="17">
        <v>40.73</v>
      </c>
      <c r="E342" s="17">
        <v>470</v>
      </c>
      <c r="F342" s="17">
        <v>6</v>
      </c>
      <c r="G342" s="17">
        <v>1</v>
      </c>
      <c r="H342" s="17">
        <v>40.73</v>
      </c>
      <c r="I342" s="17">
        <v>3</v>
      </c>
      <c r="J342" s="17">
        <v>13.58</v>
      </c>
      <c r="K342" s="17">
        <v>3</v>
      </c>
      <c r="L342" s="17">
        <v>13.58</v>
      </c>
      <c r="M342" s="17">
        <v>6</v>
      </c>
    </row>
    <row r="343" s="17" customFormat="1" spans="1:13">
      <c r="A343" s="17" t="s">
        <v>215</v>
      </c>
      <c r="B343" s="17" t="s">
        <v>208</v>
      </c>
      <c r="C343" s="17" t="s">
        <v>209</v>
      </c>
      <c r="D343" s="17">
        <v>23.11</v>
      </c>
      <c r="E343" s="17">
        <v>200</v>
      </c>
      <c r="F343" s="17">
        <v>3</v>
      </c>
      <c r="G343" s="17">
        <v>0</v>
      </c>
      <c r="H343" s="17">
        <v>0</v>
      </c>
      <c r="I343" s="17">
        <v>0</v>
      </c>
      <c r="J343" s="17">
        <v>0</v>
      </c>
      <c r="K343" s="17">
        <v>0</v>
      </c>
      <c r="L343" s="17">
        <v>0</v>
      </c>
      <c r="M343" s="17">
        <v>0</v>
      </c>
    </row>
    <row r="344" s="17" customFormat="1" spans="1:13">
      <c r="A344" s="17" t="s">
        <v>216</v>
      </c>
      <c r="B344" s="17" t="s">
        <v>208</v>
      </c>
      <c r="C344" s="17" t="s">
        <v>209</v>
      </c>
      <c r="D344" s="17">
        <v>4.73</v>
      </c>
      <c r="E344" s="17">
        <v>79</v>
      </c>
      <c r="F344" s="17">
        <v>1</v>
      </c>
      <c r="G344" s="17">
        <v>0</v>
      </c>
      <c r="H344" s="17">
        <v>0</v>
      </c>
      <c r="I344" s="17">
        <v>1</v>
      </c>
      <c r="J344" s="17">
        <v>4.73</v>
      </c>
      <c r="K344" s="17">
        <v>1</v>
      </c>
      <c r="L344" s="17">
        <v>4.73</v>
      </c>
      <c r="M344" s="17">
        <v>0</v>
      </c>
    </row>
    <row r="345" s="17" customFormat="1" spans="1:13">
      <c r="A345" s="17" t="s">
        <v>217</v>
      </c>
      <c r="B345" s="17" t="s">
        <v>208</v>
      </c>
      <c r="C345" s="17" t="s">
        <v>209</v>
      </c>
      <c r="D345" s="17">
        <v>0</v>
      </c>
      <c r="E345" s="17">
        <v>0</v>
      </c>
      <c r="F345" s="17">
        <v>0</v>
      </c>
      <c r="G345" s="17">
        <v>0</v>
      </c>
      <c r="H345" s="17">
        <v>0</v>
      </c>
      <c r="I345" s="17">
        <v>0</v>
      </c>
      <c r="J345" s="17">
        <v>0</v>
      </c>
      <c r="K345" s="17">
        <v>0</v>
      </c>
      <c r="L345" s="17">
        <v>0</v>
      </c>
      <c r="M345" s="17">
        <v>0</v>
      </c>
    </row>
    <row r="346" s="17" customFormat="1" spans="1:13">
      <c r="A346" s="17" t="s">
        <v>218</v>
      </c>
      <c r="B346" s="17" t="s">
        <v>208</v>
      </c>
      <c r="C346" s="17" t="s">
        <v>209</v>
      </c>
      <c r="D346" s="17">
        <v>0</v>
      </c>
      <c r="E346" s="17">
        <v>7</v>
      </c>
      <c r="F346" s="17">
        <v>0</v>
      </c>
      <c r="G346" s="17">
        <v>0</v>
      </c>
      <c r="H346" s="17">
        <v>0</v>
      </c>
      <c r="I346" s="17">
        <v>0</v>
      </c>
      <c r="J346" s="17">
        <v>0</v>
      </c>
      <c r="K346" s="17">
        <v>0</v>
      </c>
      <c r="L346" s="17">
        <v>0</v>
      </c>
      <c r="M346" s="17">
        <v>0</v>
      </c>
    </row>
    <row r="347" s="17" customFormat="1" spans="1:13">
      <c r="A347" s="17" t="s">
        <v>219</v>
      </c>
      <c r="B347" s="17" t="s">
        <v>208</v>
      </c>
      <c r="C347" s="17" t="s">
        <v>209</v>
      </c>
      <c r="D347" s="17">
        <v>0</v>
      </c>
      <c r="E347" s="17">
        <v>0</v>
      </c>
      <c r="F347" s="17">
        <v>0</v>
      </c>
      <c r="G347" s="17">
        <v>0</v>
      </c>
      <c r="H347" s="17">
        <v>0</v>
      </c>
      <c r="I347" s="17">
        <v>0</v>
      </c>
      <c r="J347" s="17">
        <v>0</v>
      </c>
      <c r="K347" s="17">
        <v>0</v>
      </c>
      <c r="L347" s="17">
        <v>0</v>
      </c>
      <c r="M347" s="17">
        <v>0</v>
      </c>
    </row>
    <row r="348" s="17" customFormat="1" spans="1:13">
      <c r="A348" s="17" t="s">
        <v>220</v>
      </c>
      <c r="B348" s="17" t="s">
        <v>208</v>
      </c>
      <c r="C348" s="17" t="s">
        <v>209</v>
      </c>
      <c r="D348" s="17">
        <v>0</v>
      </c>
      <c r="E348" s="17">
        <v>0</v>
      </c>
      <c r="F348" s="17">
        <v>0</v>
      </c>
      <c r="G348" s="17">
        <v>0</v>
      </c>
      <c r="H348" s="17">
        <v>0</v>
      </c>
      <c r="I348" s="17">
        <v>0</v>
      </c>
      <c r="J348" s="17">
        <v>0</v>
      </c>
      <c r="K348" s="17">
        <v>0</v>
      </c>
      <c r="L348" s="17">
        <v>0</v>
      </c>
      <c r="M348" s="17">
        <v>0</v>
      </c>
    </row>
    <row r="349" s="17" customFormat="1" spans="1:13">
      <c r="A349" s="17" t="s">
        <v>221</v>
      </c>
      <c r="B349" s="17" t="s">
        <v>208</v>
      </c>
      <c r="C349" s="17" t="s">
        <v>209</v>
      </c>
      <c r="D349" s="17">
        <v>0</v>
      </c>
      <c r="E349" s="17">
        <v>0</v>
      </c>
      <c r="F349" s="17">
        <v>0</v>
      </c>
      <c r="G349" s="17">
        <v>0</v>
      </c>
      <c r="H349" s="17">
        <v>0</v>
      </c>
      <c r="I349" s="17">
        <v>0</v>
      </c>
      <c r="J349" s="17">
        <v>0</v>
      </c>
      <c r="K349" s="17">
        <v>0</v>
      </c>
      <c r="L349" s="17">
        <v>0</v>
      </c>
      <c r="M349" s="17">
        <v>0</v>
      </c>
    </row>
    <row r="350" s="17" customFormat="1" spans="1:13">
      <c r="A350" s="17" t="s">
        <v>222</v>
      </c>
      <c r="B350" s="17" t="s">
        <v>208</v>
      </c>
      <c r="C350" s="17" t="s">
        <v>209</v>
      </c>
      <c r="D350" s="17">
        <v>0</v>
      </c>
      <c r="E350" s="17">
        <v>0</v>
      </c>
      <c r="F350" s="17">
        <v>0</v>
      </c>
      <c r="G350" s="17">
        <v>0</v>
      </c>
      <c r="H350" s="17">
        <v>0</v>
      </c>
      <c r="I350" s="17">
        <v>0</v>
      </c>
      <c r="J350" s="17">
        <v>0</v>
      </c>
      <c r="K350" s="17">
        <v>0</v>
      </c>
      <c r="L350" s="17">
        <v>0</v>
      </c>
      <c r="M350" s="17">
        <v>0</v>
      </c>
    </row>
    <row r="351" s="17" customFormat="1" spans="1:13">
      <c r="A351" s="17" t="s">
        <v>223</v>
      </c>
      <c r="B351" s="17" t="s">
        <v>208</v>
      </c>
      <c r="C351" s="17" t="s">
        <v>209</v>
      </c>
      <c r="D351" s="17">
        <v>0</v>
      </c>
      <c r="E351" s="17">
        <v>0</v>
      </c>
      <c r="F351" s="17">
        <v>0</v>
      </c>
      <c r="G351" s="17">
        <v>0</v>
      </c>
      <c r="H351" s="17">
        <v>0</v>
      </c>
      <c r="I351" s="17">
        <v>0</v>
      </c>
      <c r="J351" s="17">
        <v>0</v>
      </c>
      <c r="K351" s="17">
        <v>0</v>
      </c>
      <c r="L351" s="17">
        <v>0</v>
      </c>
      <c r="M351" s="17">
        <v>0</v>
      </c>
    </row>
    <row r="352" s="17" customFormat="1" spans="1:13">
      <c r="A352" s="17" t="s">
        <v>224</v>
      </c>
      <c r="B352" s="17" t="s">
        <v>208</v>
      </c>
      <c r="C352" s="17" t="s">
        <v>209</v>
      </c>
      <c r="D352" s="17">
        <v>0</v>
      </c>
      <c r="E352" s="17">
        <v>0</v>
      </c>
      <c r="F352" s="17">
        <v>0</v>
      </c>
      <c r="G352" s="17">
        <v>0</v>
      </c>
      <c r="H352" s="17">
        <v>0</v>
      </c>
      <c r="I352" s="17">
        <v>0</v>
      </c>
      <c r="J352" s="17">
        <v>0</v>
      </c>
      <c r="K352" s="17">
        <v>0</v>
      </c>
      <c r="L352" s="17">
        <v>0</v>
      </c>
      <c r="M352" s="17">
        <v>0</v>
      </c>
    </row>
    <row r="353" s="17" customFormat="1" spans="1:13">
      <c r="A353" s="17" t="s">
        <v>225</v>
      </c>
      <c r="B353" s="17" t="s">
        <v>208</v>
      </c>
      <c r="C353" s="17" t="s">
        <v>209</v>
      </c>
      <c r="D353" s="17">
        <v>0</v>
      </c>
      <c r="E353" s="17">
        <v>0</v>
      </c>
      <c r="F353" s="17">
        <v>0</v>
      </c>
      <c r="G353" s="17">
        <v>0</v>
      </c>
      <c r="H353" s="17">
        <v>0</v>
      </c>
      <c r="I353" s="17">
        <v>0</v>
      </c>
      <c r="J353" s="17">
        <v>0</v>
      </c>
      <c r="K353" s="17">
        <v>0</v>
      </c>
      <c r="L353" s="17">
        <v>0</v>
      </c>
      <c r="M353" s="17">
        <v>0</v>
      </c>
    </row>
    <row r="354" s="17" customFormat="1" spans="1:13">
      <c r="A354" s="17" t="s">
        <v>226</v>
      </c>
      <c r="B354" s="17" t="s">
        <v>208</v>
      </c>
      <c r="C354" s="17" t="s">
        <v>209</v>
      </c>
      <c r="D354" s="17">
        <v>0</v>
      </c>
      <c r="E354" s="17">
        <v>0</v>
      </c>
      <c r="F354" s="17">
        <v>0</v>
      </c>
      <c r="G354" s="17">
        <v>0</v>
      </c>
      <c r="H354" s="17">
        <v>0</v>
      </c>
      <c r="I354" s="17">
        <v>0</v>
      </c>
      <c r="J354" s="17">
        <v>0</v>
      </c>
      <c r="K354" s="17">
        <v>0</v>
      </c>
      <c r="L354" s="17">
        <v>0</v>
      </c>
      <c r="M354" s="17">
        <v>0</v>
      </c>
    </row>
    <row r="355" s="17" customFormat="1" spans="1:13">
      <c r="A355" s="17" t="s">
        <v>227</v>
      </c>
      <c r="B355" s="17" t="s">
        <v>208</v>
      </c>
      <c r="C355" s="17" t="s">
        <v>209</v>
      </c>
      <c r="D355" s="17">
        <v>0</v>
      </c>
      <c r="E355" s="17">
        <v>0</v>
      </c>
      <c r="F355" s="17">
        <v>0</v>
      </c>
      <c r="G355" s="17">
        <v>0</v>
      </c>
      <c r="H355" s="17">
        <v>0</v>
      </c>
      <c r="I355" s="17">
        <v>0</v>
      </c>
      <c r="J355" s="17">
        <v>0</v>
      </c>
      <c r="K355" s="17">
        <v>0</v>
      </c>
      <c r="L355" s="17">
        <v>0</v>
      </c>
      <c r="M355" s="17">
        <v>0</v>
      </c>
    </row>
    <row r="356" s="17" customFormat="1" spans="1:13">
      <c r="A356" s="17" t="s">
        <v>233</v>
      </c>
      <c r="B356" s="17" t="s">
        <v>208</v>
      </c>
      <c r="C356" s="17" t="s">
        <v>209</v>
      </c>
      <c r="D356" s="17">
        <v>0</v>
      </c>
      <c r="E356" s="17">
        <v>0</v>
      </c>
      <c r="F356" s="17">
        <v>0</v>
      </c>
      <c r="G356" s="17">
        <v>0</v>
      </c>
      <c r="H356" s="17">
        <v>0</v>
      </c>
      <c r="I356" s="17">
        <v>0</v>
      </c>
      <c r="J356" s="17">
        <v>0</v>
      </c>
      <c r="K356" s="17">
        <v>0</v>
      </c>
      <c r="L356" s="17">
        <v>0</v>
      </c>
      <c r="M356" s="17">
        <v>0</v>
      </c>
    </row>
    <row r="357" s="17" customFormat="1" spans="1:13">
      <c r="A357" s="17" t="s">
        <v>235</v>
      </c>
      <c r="B357" s="17" t="s">
        <v>208</v>
      </c>
      <c r="C357" s="17" t="s">
        <v>209</v>
      </c>
      <c r="D357" s="17">
        <v>0</v>
      </c>
      <c r="E357" s="17">
        <v>0</v>
      </c>
      <c r="F357" s="17">
        <v>0</v>
      </c>
      <c r="G357" s="17">
        <v>0</v>
      </c>
      <c r="H357" s="17">
        <v>0</v>
      </c>
      <c r="I357" s="17">
        <v>0</v>
      </c>
      <c r="J357" s="17">
        <v>0</v>
      </c>
      <c r="K357" s="17">
        <v>0</v>
      </c>
      <c r="L357" s="17">
        <v>0</v>
      </c>
      <c r="M357" s="17">
        <v>0</v>
      </c>
    </row>
    <row r="358" s="17" customFormat="1" spans="1:13">
      <c r="A358" s="17" t="s">
        <v>236</v>
      </c>
      <c r="B358" s="17" t="s">
        <v>208</v>
      </c>
      <c r="C358" s="17" t="s">
        <v>209</v>
      </c>
      <c r="D358" s="17">
        <v>0</v>
      </c>
      <c r="E358" s="17">
        <v>0</v>
      </c>
      <c r="F358" s="17">
        <v>0</v>
      </c>
      <c r="G358" s="17">
        <v>0</v>
      </c>
      <c r="H358" s="17">
        <v>0</v>
      </c>
      <c r="I358" s="17">
        <v>0</v>
      </c>
      <c r="J358" s="17">
        <v>0</v>
      </c>
      <c r="K358" s="17">
        <v>0</v>
      </c>
      <c r="L358" s="17">
        <v>0</v>
      </c>
      <c r="M358" s="17">
        <v>0</v>
      </c>
    </row>
    <row r="359" s="17" customFormat="1" spans="1:13">
      <c r="A359" s="17" t="s">
        <v>237</v>
      </c>
      <c r="B359" s="17" t="s">
        <v>208</v>
      </c>
      <c r="C359" s="17" t="s">
        <v>209</v>
      </c>
      <c r="D359" s="17">
        <v>0</v>
      </c>
      <c r="E359" s="17">
        <v>0</v>
      </c>
      <c r="F359" s="17">
        <v>0</v>
      </c>
      <c r="G359" s="17">
        <v>0</v>
      </c>
      <c r="H359" s="17">
        <v>0</v>
      </c>
      <c r="I359" s="17">
        <v>0</v>
      </c>
      <c r="J359" s="17">
        <v>0</v>
      </c>
      <c r="K359" s="17">
        <v>0</v>
      </c>
      <c r="L359" s="17">
        <v>0</v>
      </c>
      <c r="M359" s="17">
        <v>0</v>
      </c>
    </row>
    <row r="360" s="17" customFormat="1" spans="1:13">
      <c r="A360" s="17" t="s">
        <v>238</v>
      </c>
      <c r="B360" s="17" t="s">
        <v>208</v>
      </c>
      <c r="C360" s="17" t="s">
        <v>209</v>
      </c>
      <c r="D360" s="17">
        <v>0</v>
      </c>
      <c r="E360" s="17">
        <v>0</v>
      </c>
      <c r="F360" s="17">
        <v>0</v>
      </c>
      <c r="G360" s="17">
        <v>0</v>
      </c>
      <c r="H360" s="17">
        <v>0</v>
      </c>
      <c r="I360" s="17">
        <v>0</v>
      </c>
      <c r="J360" s="17">
        <v>0</v>
      </c>
      <c r="K360" s="17">
        <v>0</v>
      </c>
      <c r="L360" s="17">
        <v>0</v>
      </c>
      <c r="M360" s="17">
        <v>0</v>
      </c>
    </row>
    <row r="361" s="17" customFormat="1" spans="1:13">
      <c r="A361" s="17" t="s">
        <v>240</v>
      </c>
      <c r="B361" s="17" t="s">
        <v>208</v>
      </c>
      <c r="C361" s="17" t="s">
        <v>209</v>
      </c>
      <c r="D361" s="17">
        <v>0</v>
      </c>
      <c r="E361" s="17">
        <v>0</v>
      </c>
      <c r="F361" s="17">
        <v>0</v>
      </c>
      <c r="G361" s="17">
        <v>0</v>
      </c>
      <c r="H361" s="17">
        <v>0</v>
      </c>
      <c r="I361" s="17">
        <v>0</v>
      </c>
      <c r="J361" s="17">
        <v>0</v>
      </c>
      <c r="K361" s="17">
        <v>0</v>
      </c>
      <c r="L361" s="17">
        <v>0</v>
      </c>
      <c r="M361" s="17">
        <v>0</v>
      </c>
    </row>
    <row r="362" s="17" customFormat="1" spans="1:13">
      <c r="A362" s="17" t="s">
        <v>244</v>
      </c>
      <c r="B362" s="17" t="s">
        <v>208</v>
      </c>
      <c r="C362" s="17" t="s">
        <v>209</v>
      </c>
      <c r="D362" s="17">
        <v>0</v>
      </c>
      <c r="E362" s="17">
        <v>0</v>
      </c>
      <c r="F362" s="17">
        <v>0</v>
      </c>
      <c r="G362" s="17">
        <v>0</v>
      </c>
      <c r="H362" s="17">
        <v>0</v>
      </c>
      <c r="I362" s="17">
        <v>0</v>
      </c>
      <c r="J362" s="17">
        <v>0</v>
      </c>
      <c r="K362" s="17">
        <v>0</v>
      </c>
      <c r="L362" s="17">
        <v>0</v>
      </c>
      <c r="M362" s="17">
        <v>0</v>
      </c>
    </row>
    <row r="363" s="17" customFormat="1" spans="1:13">
      <c r="A363" s="17" t="s">
        <v>246</v>
      </c>
      <c r="B363" s="17" t="s">
        <v>208</v>
      </c>
      <c r="C363" s="17" t="s">
        <v>209</v>
      </c>
      <c r="D363" s="17">
        <v>0</v>
      </c>
      <c r="E363" s="17">
        <v>0</v>
      </c>
      <c r="F363" s="17">
        <v>0</v>
      </c>
      <c r="G363" s="17">
        <v>0</v>
      </c>
      <c r="H363" s="17">
        <v>0</v>
      </c>
      <c r="I363" s="17">
        <v>0</v>
      </c>
      <c r="J363" s="17">
        <v>0</v>
      </c>
      <c r="K363" s="17">
        <v>0</v>
      </c>
      <c r="L363" s="17">
        <v>0</v>
      </c>
      <c r="M363" s="17">
        <v>0</v>
      </c>
    </row>
    <row r="364" s="17" customFormat="1" spans="1:13">
      <c r="A364" s="17" t="s">
        <v>247</v>
      </c>
      <c r="B364" s="17" t="s">
        <v>208</v>
      </c>
      <c r="C364" s="17" t="s">
        <v>209</v>
      </c>
      <c r="D364" s="17">
        <v>0</v>
      </c>
      <c r="E364" s="17">
        <v>0</v>
      </c>
      <c r="F364" s="17">
        <v>0</v>
      </c>
      <c r="G364" s="17">
        <v>0</v>
      </c>
      <c r="H364" s="17">
        <v>0</v>
      </c>
      <c r="I364" s="17">
        <v>0</v>
      </c>
      <c r="J364" s="17">
        <v>0</v>
      </c>
      <c r="K364" s="17">
        <v>0</v>
      </c>
      <c r="L364" s="17">
        <v>0</v>
      </c>
      <c r="M364" s="17">
        <v>0</v>
      </c>
    </row>
    <row r="365" s="17" customFormat="1" spans="1:13">
      <c r="A365" s="17" t="s">
        <v>250</v>
      </c>
      <c r="B365" s="17" t="s">
        <v>208</v>
      </c>
      <c r="C365" s="17" t="s">
        <v>209</v>
      </c>
      <c r="D365" s="17">
        <v>0</v>
      </c>
      <c r="E365" s="17">
        <v>0</v>
      </c>
      <c r="F365" s="17">
        <v>0</v>
      </c>
      <c r="G365" s="17">
        <v>0</v>
      </c>
      <c r="H365" s="17">
        <v>0</v>
      </c>
      <c r="I365" s="17">
        <v>0</v>
      </c>
      <c r="J365" s="17">
        <v>0</v>
      </c>
      <c r="K365" s="17">
        <v>0</v>
      </c>
      <c r="L365" s="17">
        <v>0</v>
      </c>
      <c r="M365" s="17">
        <v>0</v>
      </c>
    </row>
    <row r="366" s="17" customFormat="1" spans="1:13">
      <c r="A366" s="17" t="s">
        <v>251</v>
      </c>
      <c r="B366" s="17" t="s">
        <v>208</v>
      </c>
      <c r="C366" s="17" t="s">
        <v>209</v>
      </c>
      <c r="D366" s="17">
        <v>0</v>
      </c>
      <c r="E366" s="17">
        <v>0</v>
      </c>
      <c r="F366" s="17">
        <v>0</v>
      </c>
      <c r="G366" s="17">
        <v>0</v>
      </c>
      <c r="H366" s="17">
        <v>0</v>
      </c>
      <c r="I366" s="17">
        <v>0</v>
      </c>
      <c r="J366" s="17">
        <v>0</v>
      </c>
      <c r="K366" s="17">
        <v>0</v>
      </c>
      <c r="L366" s="17">
        <v>0</v>
      </c>
      <c r="M366" s="17">
        <v>0</v>
      </c>
    </row>
    <row r="367" s="17" customFormat="1" spans="1:13">
      <c r="A367" s="17" t="s">
        <v>256</v>
      </c>
      <c r="B367" s="17" t="s">
        <v>208</v>
      </c>
      <c r="C367" s="17" t="s">
        <v>209</v>
      </c>
      <c r="D367" s="17">
        <v>0</v>
      </c>
      <c r="E367" s="17">
        <v>0</v>
      </c>
      <c r="F367" s="17">
        <v>0</v>
      </c>
      <c r="G367" s="17">
        <v>0</v>
      </c>
      <c r="H367" s="17">
        <v>0</v>
      </c>
      <c r="I367" s="17">
        <v>0</v>
      </c>
      <c r="J367" s="17">
        <v>0</v>
      </c>
      <c r="K367" s="17">
        <v>0</v>
      </c>
      <c r="L367" s="17">
        <v>0</v>
      </c>
      <c r="M367" s="17">
        <v>0</v>
      </c>
    </row>
    <row r="368" s="17" customFormat="1" spans="1:13">
      <c r="A368" s="17" t="s">
        <v>257</v>
      </c>
      <c r="B368" s="17" t="s">
        <v>208</v>
      </c>
      <c r="C368" s="17" t="s">
        <v>209</v>
      </c>
      <c r="D368" s="17">
        <v>0</v>
      </c>
      <c r="E368" s="17">
        <v>0</v>
      </c>
      <c r="F368" s="17">
        <v>0</v>
      </c>
      <c r="G368" s="17">
        <v>0</v>
      </c>
      <c r="H368" s="17">
        <v>0</v>
      </c>
      <c r="I368" s="17">
        <v>0</v>
      </c>
      <c r="J368" s="17">
        <v>0</v>
      </c>
      <c r="K368" s="17">
        <v>0</v>
      </c>
      <c r="L368" s="17">
        <v>0</v>
      </c>
      <c r="M368" s="17">
        <v>0</v>
      </c>
    </row>
    <row r="369" s="17" customFormat="1" spans="1:13">
      <c r="A369" s="17" t="s">
        <v>258</v>
      </c>
      <c r="B369" s="17" t="s">
        <v>208</v>
      </c>
      <c r="C369" s="17" t="s">
        <v>209</v>
      </c>
      <c r="D369" s="17">
        <v>0</v>
      </c>
      <c r="E369" s="17">
        <v>0</v>
      </c>
      <c r="F369" s="17">
        <v>0</v>
      </c>
      <c r="G369" s="17">
        <v>0</v>
      </c>
      <c r="H369" s="17">
        <v>0</v>
      </c>
      <c r="I369" s="17">
        <v>0</v>
      </c>
      <c r="J369" s="17">
        <v>0</v>
      </c>
      <c r="K369" s="17">
        <v>0</v>
      </c>
      <c r="L369" s="17">
        <v>0</v>
      </c>
      <c r="M369" s="17">
        <v>0</v>
      </c>
    </row>
    <row r="370" s="17" customFormat="1" spans="1:13">
      <c r="A370" s="17" t="s">
        <v>261</v>
      </c>
      <c r="B370" s="17" t="s">
        <v>208</v>
      </c>
      <c r="C370" s="17" t="s">
        <v>209</v>
      </c>
      <c r="D370" s="17">
        <v>0</v>
      </c>
      <c r="E370" s="17">
        <v>0</v>
      </c>
      <c r="F370" s="17">
        <v>0</v>
      </c>
      <c r="G370" s="17">
        <v>0</v>
      </c>
      <c r="H370" s="17">
        <v>0</v>
      </c>
      <c r="I370" s="17">
        <v>0</v>
      </c>
      <c r="J370" s="17">
        <v>0</v>
      </c>
      <c r="K370" s="17">
        <v>0</v>
      </c>
      <c r="L370" s="17">
        <v>0</v>
      </c>
      <c r="M370" s="17">
        <v>0</v>
      </c>
    </row>
    <row r="371" s="17" customFormat="1" spans="1:13">
      <c r="A371" s="17" t="s">
        <v>262</v>
      </c>
      <c r="B371" s="17" t="s">
        <v>208</v>
      </c>
      <c r="C371" s="17" t="s">
        <v>209</v>
      </c>
      <c r="D371" s="17">
        <v>0</v>
      </c>
      <c r="E371" s="17">
        <v>0</v>
      </c>
      <c r="F371" s="17">
        <v>0</v>
      </c>
      <c r="G371" s="17">
        <v>0</v>
      </c>
      <c r="H371" s="17">
        <v>0</v>
      </c>
      <c r="I371" s="17">
        <v>0</v>
      </c>
      <c r="J371" s="17">
        <v>0</v>
      </c>
      <c r="K371" s="17">
        <v>0</v>
      </c>
      <c r="L371" s="17">
        <v>0</v>
      </c>
      <c r="M371" s="17">
        <v>0</v>
      </c>
    </row>
    <row r="372" s="17" customFormat="1" spans="1:13">
      <c r="A372" s="17" t="s">
        <v>267</v>
      </c>
      <c r="B372" s="17" t="s">
        <v>208</v>
      </c>
      <c r="C372" s="17" t="s">
        <v>209</v>
      </c>
      <c r="D372" s="17">
        <v>0</v>
      </c>
      <c r="E372" s="17">
        <v>0</v>
      </c>
      <c r="F372" s="17">
        <v>0</v>
      </c>
      <c r="G372" s="17">
        <v>0</v>
      </c>
      <c r="H372" s="17">
        <v>0</v>
      </c>
      <c r="I372" s="17">
        <v>0</v>
      </c>
      <c r="J372" s="17">
        <v>0</v>
      </c>
      <c r="K372" s="17">
        <v>0</v>
      </c>
      <c r="L372" s="17">
        <v>0</v>
      </c>
      <c r="M372" s="17">
        <v>0</v>
      </c>
    </row>
    <row r="373" s="17" customFormat="1" spans="1:13">
      <c r="A373" s="17" t="s">
        <v>269</v>
      </c>
      <c r="B373" s="17" t="s">
        <v>208</v>
      </c>
      <c r="C373" s="17" t="s">
        <v>209</v>
      </c>
      <c r="D373" s="17">
        <v>0</v>
      </c>
      <c r="E373" s="17">
        <v>0</v>
      </c>
      <c r="F373" s="17">
        <v>0</v>
      </c>
      <c r="G373" s="17">
        <v>0</v>
      </c>
      <c r="H373" s="17">
        <v>0</v>
      </c>
      <c r="I373" s="17">
        <v>0</v>
      </c>
      <c r="J373" s="17">
        <v>0</v>
      </c>
      <c r="K373" s="17">
        <v>0</v>
      </c>
      <c r="L373" s="17">
        <v>0</v>
      </c>
      <c r="M373" s="17">
        <v>0</v>
      </c>
    </row>
    <row r="374" s="17" customFormat="1" spans="1:13">
      <c r="A374" s="17" t="s">
        <v>270</v>
      </c>
      <c r="B374" s="17" t="s">
        <v>208</v>
      </c>
      <c r="C374" s="17" t="s">
        <v>209</v>
      </c>
      <c r="D374" s="17">
        <v>0</v>
      </c>
      <c r="E374" s="17">
        <v>0</v>
      </c>
      <c r="F374" s="17">
        <v>0</v>
      </c>
      <c r="G374" s="17">
        <v>0</v>
      </c>
      <c r="H374" s="17">
        <v>0</v>
      </c>
      <c r="I374" s="17">
        <v>0</v>
      </c>
      <c r="J374" s="17">
        <v>0</v>
      </c>
      <c r="K374" s="17">
        <v>0</v>
      </c>
      <c r="L374" s="17">
        <v>0</v>
      </c>
      <c r="M374" s="17">
        <v>0</v>
      </c>
    </row>
    <row r="375" s="17" customFormat="1" spans="1:13">
      <c r="A375" s="17" t="s">
        <v>271</v>
      </c>
      <c r="B375" s="17" t="s">
        <v>208</v>
      </c>
      <c r="C375" s="17" t="s">
        <v>209</v>
      </c>
      <c r="D375" s="17">
        <v>0</v>
      </c>
      <c r="E375" s="17">
        <v>0</v>
      </c>
      <c r="F375" s="17">
        <v>0</v>
      </c>
      <c r="G375" s="17">
        <v>0</v>
      </c>
      <c r="H375" s="17">
        <v>0</v>
      </c>
      <c r="I375" s="17">
        <v>0</v>
      </c>
      <c r="J375" s="17">
        <v>0</v>
      </c>
      <c r="K375" s="17">
        <v>0</v>
      </c>
      <c r="L375" s="17">
        <v>0</v>
      </c>
      <c r="M375" s="17">
        <v>0</v>
      </c>
    </row>
    <row r="376" s="17" customFormat="1" spans="1:13">
      <c r="A376" s="17" t="s">
        <v>274</v>
      </c>
      <c r="B376" s="17" t="s">
        <v>208</v>
      </c>
      <c r="C376" s="17" t="s">
        <v>209</v>
      </c>
      <c r="D376" s="17">
        <v>0</v>
      </c>
      <c r="E376" s="17">
        <v>0</v>
      </c>
      <c r="F376" s="17">
        <v>0</v>
      </c>
      <c r="G376" s="17">
        <v>0</v>
      </c>
      <c r="H376" s="17">
        <v>0</v>
      </c>
      <c r="I376" s="17">
        <v>0</v>
      </c>
      <c r="J376" s="17">
        <v>0</v>
      </c>
      <c r="K376" s="17">
        <v>0</v>
      </c>
      <c r="L376" s="17">
        <v>0</v>
      </c>
      <c r="M376" s="17">
        <v>0</v>
      </c>
    </row>
    <row r="377" s="17" customFormat="1" spans="1:13">
      <c r="A377" s="17" t="s">
        <v>278</v>
      </c>
      <c r="B377" s="17" t="s">
        <v>208</v>
      </c>
      <c r="C377" s="17" t="s">
        <v>209</v>
      </c>
      <c r="D377" s="17">
        <v>0</v>
      </c>
      <c r="E377" s="17">
        <v>0</v>
      </c>
      <c r="F377" s="17">
        <v>0</v>
      </c>
      <c r="G377" s="17">
        <v>0</v>
      </c>
      <c r="H377" s="17">
        <v>0</v>
      </c>
      <c r="I377" s="17">
        <v>0</v>
      </c>
      <c r="J377" s="17">
        <v>0</v>
      </c>
      <c r="K377" s="17">
        <v>0</v>
      </c>
      <c r="L377" s="17">
        <v>0</v>
      </c>
      <c r="M377" s="17">
        <v>0</v>
      </c>
    </row>
    <row r="378" s="17" customFormat="1" spans="1:13">
      <c r="A378" s="17" t="s">
        <v>279</v>
      </c>
      <c r="B378" s="17" t="s">
        <v>208</v>
      </c>
      <c r="C378" s="17" t="s">
        <v>209</v>
      </c>
      <c r="D378" s="17">
        <v>0</v>
      </c>
      <c r="E378" s="17">
        <v>0</v>
      </c>
      <c r="F378" s="17">
        <v>0</v>
      </c>
      <c r="G378" s="17">
        <v>0</v>
      </c>
      <c r="H378" s="17">
        <v>0</v>
      </c>
      <c r="I378" s="17">
        <v>0</v>
      </c>
      <c r="J378" s="17">
        <v>0</v>
      </c>
      <c r="K378" s="17">
        <v>0</v>
      </c>
      <c r="L378" s="17">
        <v>0</v>
      </c>
      <c r="M378" s="17">
        <v>0</v>
      </c>
    </row>
    <row r="379" s="17" customFormat="1" spans="1:13">
      <c r="A379" s="17" t="s">
        <v>280</v>
      </c>
      <c r="B379" s="17" t="s">
        <v>208</v>
      </c>
      <c r="C379" s="17" t="s">
        <v>209</v>
      </c>
      <c r="D379" s="17">
        <v>0</v>
      </c>
      <c r="E379" s="17">
        <v>0</v>
      </c>
      <c r="F379" s="17">
        <v>0</v>
      </c>
      <c r="G379" s="17">
        <v>0</v>
      </c>
      <c r="H379" s="17">
        <v>0</v>
      </c>
      <c r="I379" s="17">
        <v>0</v>
      </c>
      <c r="J379" s="17">
        <v>0</v>
      </c>
      <c r="K379" s="17">
        <v>0</v>
      </c>
      <c r="L379" s="17">
        <v>0</v>
      </c>
      <c r="M379" s="17">
        <v>0</v>
      </c>
    </row>
    <row r="380" s="17" customFormat="1" spans="1:13">
      <c r="A380" s="17" t="s">
        <v>287</v>
      </c>
      <c r="B380" s="17" t="s">
        <v>208</v>
      </c>
      <c r="C380" s="17" t="s">
        <v>209</v>
      </c>
      <c r="D380" s="17">
        <v>0</v>
      </c>
      <c r="E380" s="17">
        <v>0</v>
      </c>
      <c r="F380" s="17">
        <v>0</v>
      </c>
      <c r="G380" s="17">
        <v>0</v>
      </c>
      <c r="H380" s="17">
        <v>0</v>
      </c>
      <c r="I380" s="17">
        <v>0</v>
      </c>
      <c r="J380" s="17">
        <v>0</v>
      </c>
      <c r="K380" s="17">
        <v>0</v>
      </c>
      <c r="L380" s="17">
        <v>0</v>
      </c>
      <c r="M380" s="17">
        <v>0</v>
      </c>
    </row>
    <row r="381" s="17" customFormat="1" spans="1:13">
      <c r="A381" s="17" t="s">
        <v>289</v>
      </c>
      <c r="B381" s="17" t="s">
        <v>208</v>
      </c>
      <c r="C381" s="17" t="s">
        <v>209</v>
      </c>
      <c r="D381" s="17">
        <v>0</v>
      </c>
      <c r="E381" s="17">
        <v>0</v>
      </c>
      <c r="F381" s="17">
        <v>0</v>
      </c>
      <c r="G381" s="17">
        <v>0</v>
      </c>
      <c r="H381" s="17">
        <v>0</v>
      </c>
      <c r="I381" s="17">
        <v>0</v>
      </c>
      <c r="J381" s="17">
        <v>0</v>
      </c>
      <c r="K381" s="17">
        <v>0</v>
      </c>
      <c r="L381" s="17">
        <v>0</v>
      </c>
      <c r="M381" s="17">
        <v>0</v>
      </c>
    </row>
    <row r="382" s="17" customFormat="1" spans="1:13">
      <c r="A382" s="17" t="s">
        <v>292</v>
      </c>
      <c r="B382" s="17" t="s">
        <v>208</v>
      </c>
      <c r="C382" s="17" t="s">
        <v>209</v>
      </c>
      <c r="D382" s="17">
        <v>0</v>
      </c>
      <c r="E382" s="17">
        <v>0</v>
      </c>
      <c r="F382" s="17">
        <v>0</v>
      </c>
      <c r="G382" s="17">
        <v>0</v>
      </c>
      <c r="H382" s="17">
        <v>0</v>
      </c>
      <c r="I382" s="17">
        <v>0</v>
      </c>
      <c r="J382" s="17">
        <v>0</v>
      </c>
      <c r="K382" s="17">
        <v>0</v>
      </c>
      <c r="L382" s="17">
        <v>0</v>
      </c>
      <c r="M382" s="17">
        <v>0</v>
      </c>
    </row>
    <row r="383" s="17" customFormat="1" spans="1:13">
      <c r="A383" s="17" t="s">
        <v>294</v>
      </c>
      <c r="B383" s="17" t="s">
        <v>208</v>
      </c>
      <c r="C383" s="17" t="s">
        <v>209</v>
      </c>
      <c r="D383" s="17">
        <v>0</v>
      </c>
      <c r="E383" s="17">
        <v>0</v>
      </c>
      <c r="F383" s="17">
        <v>0</v>
      </c>
      <c r="G383" s="17">
        <v>0</v>
      </c>
      <c r="H383" s="17">
        <v>0</v>
      </c>
      <c r="I383" s="17">
        <v>0</v>
      </c>
      <c r="J383" s="17">
        <v>0</v>
      </c>
      <c r="K383" s="17">
        <v>0</v>
      </c>
      <c r="L383" s="17">
        <v>0</v>
      </c>
      <c r="M383" s="17">
        <v>0</v>
      </c>
    </row>
    <row r="384" s="17" customFormat="1" spans="1:13">
      <c r="A384" s="17" t="s">
        <v>298</v>
      </c>
      <c r="B384" s="17" t="s">
        <v>208</v>
      </c>
      <c r="C384" s="17" t="s">
        <v>209</v>
      </c>
      <c r="D384" s="17">
        <v>0</v>
      </c>
      <c r="E384" s="17">
        <v>0</v>
      </c>
      <c r="F384" s="17">
        <v>0</v>
      </c>
      <c r="G384" s="17">
        <v>0</v>
      </c>
      <c r="H384" s="17">
        <v>0</v>
      </c>
      <c r="I384" s="17">
        <v>0</v>
      </c>
      <c r="J384" s="17">
        <v>0</v>
      </c>
      <c r="K384" s="17">
        <v>0</v>
      </c>
      <c r="L384" s="17">
        <v>0</v>
      </c>
      <c r="M384" s="17">
        <v>0</v>
      </c>
    </row>
    <row r="385" s="17" customFormat="1" spans="1:13">
      <c r="A385" s="17" t="s">
        <v>306</v>
      </c>
      <c r="B385" s="17" t="s">
        <v>208</v>
      </c>
      <c r="C385" s="17" t="s">
        <v>209</v>
      </c>
      <c r="D385" s="17">
        <v>0</v>
      </c>
      <c r="E385" s="17">
        <v>0</v>
      </c>
      <c r="F385" s="17">
        <v>0</v>
      </c>
      <c r="G385" s="17">
        <v>0</v>
      </c>
      <c r="H385" s="17">
        <v>0</v>
      </c>
      <c r="I385" s="17">
        <v>0</v>
      </c>
      <c r="J385" s="17">
        <v>0</v>
      </c>
      <c r="K385" s="17">
        <v>0</v>
      </c>
      <c r="L385" s="17">
        <v>0</v>
      </c>
      <c r="M385" s="17">
        <v>0</v>
      </c>
    </row>
    <row r="386" s="17" customFormat="1" spans="1:13">
      <c r="A386" s="17" t="s">
        <v>310</v>
      </c>
      <c r="B386" s="17" t="s">
        <v>208</v>
      </c>
      <c r="C386" s="17" t="s">
        <v>209</v>
      </c>
      <c r="D386" s="17">
        <v>0</v>
      </c>
      <c r="E386" s="17">
        <v>0</v>
      </c>
      <c r="F386" s="17">
        <v>0</v>
      </c>
      <c r="G386" s="17">
        <v>0</v>
      </c>
      <c r="H386" s="17">
        <v>0</v>
      </c>
      <c r="I386" s="17">
        <v>0</v>
      </c>
      <c r="J386" s="17">
        <v>0</v>
      </c>
      <c r="K386" s="17">
        <v>0</v>
      </c>
      <c r="L386" s="17">
        <v>0</v>
      </c>
      <c r="M386" s="17">
        <v>0</v>
      </c>
    </row>
    <row r="387" s="17" customFormat="1" spans="1:13">
      <c r="A387" s="17" t="s">
        <v>316</v>
      </c>
      <c r="B387" s="17" t="s">
        <v>208</v>
      </c>
      <c r="C387" s="17" t="s">
        <v>209</v>
      </c>
      <c r="D387" s="17">
        <v>0</v>
      </c>
      <c r="E387" s="17">
        <v>0</v>
      </c>
      <c r="F387" s="17">
        <v>0</v>
      </c>
      <c r="G387" s="17">
        <v>0</v>
      </c>
      <c r="H387" s="17">
        <v>0</v>
      </c>
      <c r="I387" s="17">
        <v>0</v>
      </c>
      <c r="J387" s="17">
        <v>0</v>
      </c>
      <c r="K387" s="17">
        <v>0</v>
      </c>
      <c r="L387" s="17">
        <v>0</v>
      </c>
      <c r="M387" s="17">
        <v>0</v>
      </c>
    </row>
    <row r="388" s="17" customFormat="1" spans="1:13">
      <c r="A388" s="17" t="s">
        <v>317</v>
      </c>
      <c r="B388" s="17" t="s">
        <v>208</v>
      </c>
      <c r="C388" s="17" t="s">
        <v>209</v>
      </c>
      <c r="D388" s="17">
        <v>0</v>
      </c>
      <c r="E388" s="17">
        <v>0</v>
      </c>
      <c r="F388" s="17">
        <v>0</v>
      </c>
      <c r="G388" s="17">
        <v>0</v>
      </c>
      <c r="H388" s="17">
        <v>0</v>
      </c>
      <c r="I388" s="17">
        <v>0</v>
      </c>
      <c r="J388" s="17">
        <v>0</v>
      </c>
      <c r="K388" s="17">
        <v>0</v>
      </c>
      <c r="L388" s="17">
        <v>0</v>
      </c>
      <c r="M388" s="17">
        <v>0</v>
      </c>
    </row>
    <row r="389" s="17" customFormat="1" spans="1:13">
      <c r="A389" s="17" t="s">
        <v>322</v>
      </c>
      <c r="B389" s="17" t="s">
        <v>208</v>
      </c>
      <c r="C389" s="17" t="s">
        <v>209</v>
      </c>
      <c r="D389" s="17">
        <v>0</v>
      </c>
      <c r="E389" s="17">
        <v>0</v>
      </c>
      <c r="F389" s="17">
        <v>0</v>
      </c>
      <c r="G389" s="17">
        <v>0</v>
      </c>
      <c r="H389" s="17">
        <v>0</v>
      </c>
      <c r="I389" s="17">
        <v>0</v>
      </c>
      <c r="J389" s="17">
        <v>0</v>
      </c>
      <c r="K389" s="17">
        <v>0</v>
      </c>
      <c r="L389" s="17">
        <v>0</v>
      </c>
      <c r="M389" s="17">
        <v>0</v>
      </c>
    </row>
    <row r="390" s="17" customFormat="1" spans="1:13">
      <c r="A390" s="17" t="s">
        <v>324</v>
      </c>
      <c r="B390" s="17" t="s">
        <v>208</v>
      </c>
      <c r="C390" s="17" t="s">
        <v>209</v>
      </c>
      <c r="D390" s="17">
        <v>0</v>
      </c>
      <c r="E390" s="17">
        <v>0</v>
      </c>
      <c r="F390" s="17">
        <v>0</v>
      </c>
      <c r="G390" s="17">
        <v>0</v>
      </c>
      <c r="H390" s="17">
        <v>0</v>
      </c>
      <c r="I390" s="17">
        <v>0</v>
      </c>
      <c r="J390" s="17">
        <v>0</v>
      </c>
      <c r="K390" s="17">
        <v>0</v>
      </c>
      <c r="L390" s="17">
        <v>0</v>
      </c>
      <c r="M390" s="17">
        <v>0</v>
      </c>
    </row>
    <row r="391" s="17" customFormat="1" spans="1:13">
      <c r="A391" s="17" t="s">
        <v>325</v>
      </c>
      <c r="B391" s="17" t="s">
        <v>208</v>
      </c>
      <c r="C391" s="17" t="s">
        <v>209</v>
      </c>
      <c r="D391" s="17">
        <v>0</v>
      </c>
      <c r="E391" s="17">
        <v>0</v>
      </c>
      <c r="F391" s="17">
        <v>0</v>
      </c>
      <c r="G391" s="17">
        <v>0</v>
      </c>
      <c r="H391" s="17">
        <v>0</v>
      </c>
      <c r="I391" s="17">
        <v>0</v>
      </c>
      <c r="J391" s="17">
        <v>0</v>
      </c>
      <c r="K391" s="17">
        <v>0</v>
      </c>
      <c r="L391" s="17">
        <v>0</v>
      </c>
      <c r="M391" s="17">
        <v>0</v>
      </c>
    </row>
    <row r="392" s="17" customFormat="1" spans="1:13">
      <c r="A392" s="17" t="s">
        <v>326</v>
      </c>
      <c r="B392" s="17" t="s">
        <v>208</v>
      </c>
      <c r="C392" s="17" t="s">
        <v>209</v>
      </c>
      <c r="D392" s="17">
        <v>0</v>
      </c>
      <c r="E392" s="17">
        <v>0</v>
      </c>
      <c r="F392" s="17">
        <v>0</v>
      </c>
      <c r="G392" s="17">
        <v>0</v>
      </c>
      <c r="H392" s="17">
        <v>0</v>
      </c>
      <c r="I392" s="17">
        <v>0</v>
      </c>
      <c r="J392" s="17">
        <v>0</v>
      </c>
      <c r="K392" s="17">
        <v>0</v>
      </c>
      <c r="L392" s="17">
        <v>0</v>
      </c>
      <c r="M392" s="17">
        <v>0</v>
      </c>
    </row>
    <row r="393" s="17" customFormat="1" spans="1:13">
      <c r="A393" s="17" t="s">
        <v>328</v>
      </c>
      <c r="B393" s="17" t="s">
        <v>208</v>
      </c>
      <c r="C393" s="17" t="s">
        <v>209</v>
      </c>
      <c r="D393" s="17">
        <v>0</v>
      </c>
      <c r="E393" s="17">
        <v>0</v>
      </c>
      <c r="F393" s="17">
        <v>0</v>
      </c>
      <c r="G393" s="17">
        <v>0</v>
      </c>
      <c r="H393" s="17">
        <v>0</v>
      </c>
      <c r="I393" s="17">
        <v>0</v>
      </c>
      <c r="J393" s="17">
        <v>0</v>
      </c>
      <c r="K393" s="17">
        <v>0</v>
      </c>
      <c r="L393" s="17">
        <v>0</v>
      </c>
      <c r="M393" s="17">
        <v>0</v>
      </c>
    </row>
    <row r="394" s="17" customFormat="1" spans="1:13">
      <c r="A394" s="17" t="s">
        <v>334</v>
      </c>
      <c r="B394" s="17" t="s">
        <v>208</v>
      </c>
      <c r="C394" s="17" t="s">
        <v>209</v>
      </c>
      <c r="D394" s="17">
        <v>0</v>
      </c>
      <c r="E394" s="17">
        <v>0</v>
      </c>
      <c r="F394" s="17">
        <v>0</v>
      </c>
      <c r="G394" s="17">
        <v>0</v>
      </c>
      <c r="H394" s="17">
        <v>0</v>
      </c>
      <c r="I394" s="17">
        <v>0</v>
      </c>
      <c r="J394" s="17">
        <v>0</v>
      </c>
      <c r="K394" s="17">
        <v>0</v>
      </c>
      <c r="L394" s="17">
        <v>0</v>
      </c>
      <c r="M394" s="17">
        <v>0</v>
      </c>
    </row>
    <row r="395" s="17" customFormat="1" spans="1:13">
      <c r="A395" s="17" t="s">
        <v>335</v>
      </c>
      <c r="B395" s="17" t="s">
        <v>208</v>
      </c>
      <c r="C395" s="17" t="s">
        <v>209</v>
      </c>
      <c r="D395" s="17">
        <v>0</v>
      </c>
      <c r="E395" s="17">
        <v>0</v>
      </c>
      <c r="F395" s="17">
        <v>0</v>
      </c>
      <c r="G395" s="17">
        <v>0</v>
      </c>
      <c r="H395" s="17">
        <v>0</v>
      </c>
      <c r="I395" s="17">
        <v>0</v>
      </c>
      <c r="J395" s="17">
        <v>0</v>
      </c>
      <c r="K395" s="17">
        <v>0</v>
      </c>
      <c r="L395" s="17">
        <v>0</v>
      </c>
      <c r="M395" s="17">
        <v>0</v>
      </c>
    </row>
    <row r="396" s="17" customFormat="1" spans="1:13">
      <c r="A396" s="17" t="s">
        <v>341</v>
      </c>
      <c r="B396" s="17" t="s">
        <v>208</v>
      </c>
      <c r="C396" s="17" t="s">
        <v>209</v>
      </c>
      <c r="D396" s="17">
        <v>0</v>
      </c>
      <c r="E396" s="17">
        <v>0</v>
      </c>
      <c r="F396" s="17">
        <v>0</v>
      </c>
      <c r="G396" s="17">
        <v>0</v>
      </c>
      <c r="H396" s="17">
        <v>0</v>
      </c>
      <c r="I396" s="17">
        <v>0</v>
      </c>
      <c r="J396" s="17">
        <v>0</v>
      </c>
      <c r="K396" s="17">
        <v>0</v>
      </c>
      <c r="L396" s="17">
        <v>0</v>
      </c>
      <c r="M396" s="17">
        <v>0</v>
      </c>
    </row>
    <row r="397" s="17" customFormat="1" spans="1:13">
      <c r="A397" s="17" t="s">
        <v>350</v>
      </c>
      <c r="B397" s="17" t="s">
        <v>208</v>
      </c>
      <c r="C397" s="17" t="s">
        <v>209</v>
      </c>
      <c r="D397" s="17">
        <v>0</v>
      </c>
      <c r="E397" s="17">
        <v>0</v>
      </c>
      <c r="F397" s="17">
        <v>0</v>
      </c>
      <c r="G397" s="17">
        <v>0</v>
      </c>
      <c r="H397" s="17">
        <v>0</v>
      </c>
      <c r="I397" s="17">
        <v>0</v>
      </c>
      <c r="J397" s="17">
        <v>0</v>
      </c>
      <c r="K397" s="17">
        <v>0</v>
      </c>
      <c r="L397" s="17">
        <v>0</v>
      </c>
      <c r="M397" s="17">
        <v>0</v>
      </c>
    </row>
    <row r="398" s="17" customFormat="1" spans="1:13">
      <c r="A398" s="17" t="s">
        <v>352</v>
      </c>
      <c r="B398" s="17" t="s">
        <v>208</v>
      </c>
      <c r="C398" s="17" t="s">
        <v>209</v>
      </c>
      <c r="D398" s="17">
        <v>0</v>
      </c>
      <c r="E398" s="17">
        <v>0</v>
      </c>
      <c r="F398" s="17">
        <v>0</v>
      </c>
      <c r="G398" s="17">
        <v>0</v>
      </c>
      <c r="H398" s="17">
        <v>0</v>
      </c>
      <c r="I398" s="17">
        <v>0</v>
      </c>
      <c r="J398" s="17">
        <v>0</v>
      </c>
      <c r="K398" s="17">
        <v>0</v>
      </c>
      <c r="L398" s="17">
        <v>0</v>
      </c>
      <c r="M398" s="17">
        <v>0</v>
      </c>
    </row>
    <row r="399" s="17" customFormat="1" spans="1:13">
      <c r="A399" s="17" t="s">
        <v>354</v>
      </c>
      <c r="B399" s="17" t="s">
        <v>208</v>
      </c>
      <c r="C399" s="17" t="s">
        <v>209</v>
      </c>
      <c r="D399" s="17">
        <v>0</v>
      </c>
      <c r="E399" s="17">
        <v>0</v>
      </c>
      <c r="F399" s="17">
        <v>0</v>
      </c>
      <c r="G399" s="17">
        <v>0</v>
      </c>
      <c r="H399" s="17">
        <v>0</v>
      </c>
      <c r="I399" s="17">
        <v>0</v>
      </c>
      <c r="J399" s="17">
        <v>0</v>
      </c>
      <c r="K399" s="17">
        <v>0</v>
      </c>
      <c r="L399" s="17">
        <v>0</v>
      </c>
      <c r="M399" s="17">
        <v>0</v>
      </c>
    </row>
    <row r="400" s="17" customFormat="1" spans="1:13">
      <c r="A400" s="17" t="s">
        <v>356</v>
      </c>
      <c r="B400" s="17" t="s">
        <v>208</v>
      </c>
      <c r="C400" s="17" t="s">
        <v>209</v>
      </c>
      <c r="D400" s="17">
        <v>0</v>
      </c>
      <c r="E400" s="17">
        <v>0</v>
      </c>
      <c r="F400" s="17">
        <v>0</v>
      </c>
      <c r="G400" s="17">
        <v>0</v>
      </c>
      <c r="H400" s="17">
        <v>0</v>
      </c>
      <c r="I400" s="17">
        <v>0</v>
      </c>
      <c r="J400" s="17">
        <v>0</v>
      </c>
      <c r="K400" s="17">
        <v>0</v>
      </c>
      <c r="L400" s="17">
        <v>0</v>
      </c>
      <c r="M400" s="17">
        <v>0</v>
      </c>
    </row>
    <row r="401" s="17" customFormat="1" spans="1:13">
      <c r="A401" s="17" t="s">
        <v>364</v>
      </c>
      <c r="B401" s="17" t="s">
        <v>208</v>
      </c>
      <c r="C401" s="17" t="s">
        <v>209</v>
      </c>
      <c r="D401" s="17">
        <v>0</v>
      </c>
      <c r="E401" s="17">
        <v>0</v>
      </c>
      <c r="F401" s="17">
        <v>0</v>
      </c>
      <c r="G401" s="17">
        <v>0</v>
      </c>
      <c r="H401" s="17">
        <v>0</v>
      </c>
      <c r="I401" s="17">
        <v>0</v>
      </c>
      <c r="J401" s="17">
        <v>0</v>
      </c>
      <c r="K401" s="17">
        <v>0</v>
      </c>
      <c r="L401" s="17">
        <v>0</v>
      </c>
      <c r="M401" s="17">
        <v>0</v>
      </c>
    </row>
    <row r="402" s="17" customFormat="1" spans="1:13">
      <c r="A402" s="17" t="s">
        <v>372</v>
      </c>
      <c r="B402" s="17" t="s">
        <v>208</v>
      </c>
      <c r="C402" s="17" t="s">
        <v>209</v>
      </c>
      <c r="D402" s="17">
        <v>0</v>
      </c>
      <c r="E402" s="17">
        <v>0</v>
      </c>
      <c r="F402" s="17">
        <v>0</v>
      </c>
      <c r="G402" s="17">
        <v>0</v>
      </c>
      <c r="H402" s="17">
        <v>0</v>
      </c>
      <c r="I402" s="17">
        <v>0</v>
      </c>
      <c r="J402" s="17">
        <v>0</v>
      </c>
      <c r="K402" s="17">
        <v>0</v>
      </c>
      <c r="L402" s="17">
        <v>0</v>
      </c>
      <c r="M402" s="17">
        <v>0</v>
      </c>
    </row>
    <row r="403" s="17" customFormat="1" spans="1:13">
      <c r="A403" s="17" t="s">
        <v>373</v>
      </c>
      <c r="B403" s="17" t="s">
        <v>208</v>
      </c>
      <c r="C403" s="17" t="s">
        <v>209</v>
      </c>
      <c r="D403" s="17">
        <v>0</v>
      </c>
      <c r="E403" s="17">
        <v>0</v>
      </c>
      <c r="F403" s="17">
        <v>0</v>
      </c>
      <c r="G403" s="17">
        <v>0</v>
      </c>
      <c r="H403" s="17">
        <v>0</v>
      </c>
      <c r="I403" s="17">
        <v>0</v>
      </c>
      <c r="J403" s="17">
        <v>0</v>
      </c>
      <c r="K403" s="17">
        <v>0</v>
      </c>
      <c r="L403" s="17">
        <v>0</v>
      </c>
      <c r="M403" s="17">
        <v>0</v>
      </c>
    </row>
    <row r="404" s="17" customFormat="1" spans="1:13">
      <c r="A404" s="17" t="s">
        <v>380</v>
      </c>
      <c r="B404" s="17" t="s">
        <v>208</v>
      </c>
      <c r="C404" s="17" t="s">
        <v>209</v>
      </c>
      <c r="D404" s="17">
        <v>0</v>
      </c>
      <c r="E404" s="17">
        <v>0</v>
      </c>
      <c r="F404" s="17">
        <v>0</v>
      </c>
      <c r="G404" s="17">
        <v>0</v>
      </c>
      <c r="H404" s="17">
        <v>0</v>
      </c>
      <c r="I404" s="17">
        <v>0</v>
      </c>
      <c r="J404" s="17">
        <v>0</v>
      </c>
      <c r="K404" s="17">
        <v>0</v>
      </c>
      <c r="L404" s="17">
        <v>0</v>
      </c>
      <c r="M404" s="17">
        <v>0</v>
      </c>
    </row>
    <row r="405" s="17" customFormat="1" spans="1:13">
      <c r="A405" s="17" t="s">
        <v>214</v>
      </c>
      <c r="B405" s="17" t="s">
        <v>210</v>
      </c>
      <c r="C405" s="17" t="s">
        <v>211</v>
      </c>
      <c r="D405" s="17">
        <v>0.35</v>
      </c>
      <c r="E405" s="17">
        <v>3</v>
      </c>
      <c r="F405" s="17">
        <v>0</v>
      </c>
      <c r="G405" s="17">
        <v>0</v>
      </c>
      <c r="H405" s="17">
        <v>0</v>
      </c>
      <c r="I405" s="17">
        <v>0</v>
      </c>
      <c r="J405" s="17">
        <v>0</v>
      </c>
      <c r="K405" s="17">
        <v>0</v>
      </c>
      <c r="L405" s="17">
        <v>0</v>
      </c>
      <c r="M405" s="17">
        <v>0</v>
      </c>
    </row>
    <row r="406" s="17" customFormat="1" spans="1:13">
      <c r="A406" s="17" t="s">
        <v>215</v>
      </c>
      <c r="B406" s="17" t="s">
        <v>210</v>
      </c>
      <c r="C406" s="17" t="s">
        <v>211</v>
      </c>
      <c r="D406" s="17">
        <v>32.03</v>
      </c>
      <c r="E406" s="17">
        <v>301</v>
      </c>
      <c r="F406" s="17">
        <v>1</v>
      </c>
      <c r="G406" s="17">
        <v>0</v>
      </c>
      <c r="H406" s="17">
        <v>0</v>
      </c>
      <c r="I406" s="17">
        <v>0</v>
      </c>
      <c r="J406" s="17">
        <v>0</v>
      </c>
      <c r="K406" s="17">
        <v>0</v>
      </c>
      <c r="L406" s="17">
        <v>0</v>
      </c>
      <c r="M406" s="17">
        <v>0</v>
      </c>
    </row>
    <row r="407" s="17" customFormat="1" spans="1:13">
      <c r="A407" s="17" t="s">
        <v>216</v>
      </c>
      <c r="B407" s="17" t="s">
        <v>210</v>
      </c>
      <c r="C407" s="17" t="s">
        <v>211</v>
      </c>
      <c r="D407" s="17">
        <v>15.46</v>
      </c>
      <c r="E407" s="17">
        <v>194</v>
      </c>
      <c r="F407" s="17">
        <v>0</v>
      </c>
      <c r="G407" s="17">
        <v>0</v>
      </c>
      <c r="H407" s="17">
        <v>0</v>
      </c>
      <c r="I407" s="17">
        <v>0</v>
      </c>
      <c r="J407" s="17">
        <v>0</v>
      </c>
      <c r="K407" s="17">
        <v>0</v>
      </c>
      <c r="L407" s="17">
        <v>0</v>
      </c>
      <c r="M407" s="17">
        <v>0</v>
      </c>
    </row>
    <row r="408" s="17" customFormat="1" spans="1:13">
      <c r="A408" s="17" t="s">
        <v>217</v>
      </c>
      <c r="B408" s="17" t="s">
        <v>210</v>
      </c>
      <c r="C408" s="17" t="s">
        <v>211</v>
      </c>
      <c r="D408" s="17">
        <v>10.2</v>
      </c>
      <c r="E408" s="17">
        <v>86</v>
      </c>
      <c r="F408" s="17">
        <v>1</v>
      </c>
      <c r="G408" s="17">
        <v>1</v>
      </c>
      <c r="H408" s="17">
        <v>10.2</v>
      </c>
      <c r="I408" s="17">
        <v>1</v>
      </c>
      <c r="J408" s="17">
        <v>10.2</v>
      </c>
      <c r="K408" s="17">
        <v>1</v>
      </c>
      <c r="L408" s="17">
        <v>10.2</v>
      </c>
      <c r="M408" s="17">
        <v>30</v>
      </c>
    </row>
    <row r="409" s="17" customFormat="1" spans="1:13">
      <c r="A409" s="17" t="s">
        <v>218</v>
      </c>
      <c r="B409" s="17" t="s">
        <v>210</v>
      </c>
      <c r="C409" s="17" t="s">
        <v>211</v>
      </c>
      <c r="D409" s="17">
        <v>8.62</v>
      </c>
      <c r="E409" s="17">
        <v>73</v>
      </c>
      <c r="F409" s="17">
        <v>0</v>
      </c>
      <c r="G409" s="17">
        <v>0</v>
      </c>
      <c r="H409" s="17">
        <v>0</v>
      </c>
      <c r="I409" s="17">
        <v>0</v>
      </c>
      <c r="J409" s="17">
        <v>0</v>
      </c>
      <c r="K409" s="17">
        <v>0</v>
      </c>
      <c r="L409" s="17">
        <v>0</v>
      </c>
      <c r="M409" s="17">
        <v>0</v>
      </c>
    </row>
    <row r="410" s="17" customFormat="1" spans="1:13">
      <c r="A410" s="17" t="s">
        <v>219</v>
      </c>
      <c r="B410" s="17" t="s">
        <v>210</v>
      </c>
      <c r="C410" s="17" t="s">
        <v>211</v>
      </c>
      <c r="D410" s="17">
        <v>8.33</v>
      </c>
      <c r="E410" s="17">
        <v>68</v>
      </c>
      <c r="F410" s="17">
        <v>0</v>
      </c>
      <c r="G410" s="17">
        <v>0</v>
      </c>
      <c r="H410" s="17">
        <v>0</v>
      </c>
      <c r="I410" s="17">
        <v>0</v>
      </c>
      <c r="J410" s="17">
        <v>0</v>
      </c>
      <c r="K410" s="17">
        <v>0</v>
      </c>
      <c r="L410" s="17">
        <v>0</v>
      </c>
      <c r="M410" s="17">
        <v>0</v>
      </c>
    </row>
    <row r="411" s="17" customFormat="1" spans="1:13">
      <c r="A411" s="17" t="s">
        <v>220</v>
      </c>
      <c r="B411" s="17" t="s">
        <v>210</v>
      </c>
      <c r="C411" s="17" t="s">
        <v>211</v>
      </c>
      <c r="D411" s="17">
        <v>12.06</v>
      </c>
      <c r="E411" s="17">
        <v>107</v>
      </c>
      <c r="F411" s="17">
        <v>4</v>
      </c>
      <c r="G411" s="17">
        <v>0</v>
      </c>
      <c r="H411" s="17">
        <v>0</v>
      </c>
      <c r="I411" s="17">
        <v>1</v>
      </c>
      <c r="J411" s="17">
        <v>12.06</v>
      </c>
      <c r="K411" s="17">
        <v>1</v>
      </c>
      <c r="L411" s="17">
        <v>12.06</v>
      </c>
      <c r="M411" s="17">
        <v>0</v>
      </c>
    </row>
    <row r="412" s="17" customFormat="1" spans="1:13">
      <c r="A412" s="17" t="s">
        <v>221</v>
      </c>
      <c r="B412" s="17" t="s">
        <v>210</v>
      </c>
      <c r="C412" s="17" t="s">
        <v>211</v>
      </c>
      <c r="D412" s="17">
        <v>23.69</v>
      </c>
      <c r="E412" s="17">
        <v>166</v>
      </c>
      <c r="F412" s="17">
        <v>1</v>
      </c>
      <c r="G412" s="17">
        <v>0</v>
      </c>
      <c r="H412" s="17">
        <v>0</v>
      </c>
      <c r="I412" s="17">
        <v>1</v>
      </c>
      <c r="J412" s="17">
        <v>23.69</v>
      </c>
      <c r="K412" s="17">
        <v>1</v>
      </c>
      <c r="L412" s="17">
        <v>23.69</v>
      </c>
      <c r="M412" s="17">
        <v>0</v>
      </c>
    </row>
    <row r="413" s="17" customFormat="1" spans="1:13">
      <c r="A413" s="17" t="s">
        <v>222</v>
      </c>
      <c r="B413" s="17" t="s">
        <v>210</v>
      </c>
      <c r="C413" s="17" t="s">
        <v>211</v>
      </c>
      <c r="D413" s="17">
        <v>65.3</v>
      </c>
      <c r="E413" s="17">
        <v>486</v>
      </c>
      <c r="F413" s="17">
        <v>2</v>
      </c>
      <c r="G413" s="17">
        <v>0</v>
      </c>
      <c r="H413" s="17">
        <v>0</v>
      </c>
      <c r="I413" s="17">
        <v>0</v>
      </c>
      <c r="J413" s="17">
        <v>0</v>
      </c>
      <c r="K413" s="17">
        <v>0</v>
      </c>
      <c r="L413" s="17">
        <v>0</v>
      </c>
      <c r="M413" s="17">
        <v>0</v>
      </c>
    </row>
    <row r="414" s="17" customFormat="1" spans="1:13">
      <c r="A414" s="17" t="s">
        <v>223</v>
      </c>
      <c r="B414" s="17" t="s">
        <v>210</v>
      </c>
      <c r="C414" s="17" t="s">
        <v>211</v>
      </c>
      <c r="D414" s="17">
        <v>95.15</v>
      </c>
      <c r="E414" s="17">
        <v>601</v>
      </c>
      <c r="F414" s="17">
        <v>4</v>
      </c>
      <c r="G414" s="17">
        <v>0</v>
      </c>
      <c r="H414" s="17">
        <v>0</v>
      </c>
      <c r="I414" s="17">
        <v>1</v>
      </c>
      <c r="J414" s="17">
        <v>95.15</v>
      </c>
      <c r="K414" s="17">
        <v>1</v>
      </c>
      <c r="L414" s="17">
        <v>95.15</v>
      </c>
      <c r="M414" s="17">
        <v>0</v>
      </c>
    </row>
    <row r="415" s="17" customFormat="1" spans="1:13">
      <c r="A415" s="17" t="s">
        <v>224</v>
      </c>
      <c r="B415" s="17" t="s">
        <v>210</v>
      </c>
      <c r="C415" s="17" t="s">
        <v>211</v>
      </c>
      <c r="D415" s="17">
        <v>106.91</v>
      </c>
      <c r="E415" s="17">
        <v>706</v>
      </c>
      <c r="F415" s="17">
        <v>4</v>
      </c>
      <c r="G415" s="17">
        <v>0</v>
      </c>
      <c r="H415" s="17">
        <v>0</v>
      </c>
      <c r="I415" s="17">
        <v>2</v>
      </c>
      <c r="J415" s="17">
        <v>53.46</v>
      </c>
      <c r="K415" s="17">
        <v>3</v>
      </c>
      <c r="L415" s="17">
        <v>35.64</v>
      </c>
      <c r="M415" s="17">
        <v>0</v>
      </c>
    </row>
    <row r="416" s="17" customFormat="1" spans="1:13">
      <c r="A416" s="17" t="s">
        <v>225</v>
      </c>
      <c r="B416" s="17" t="s">
        <v>210</v>
      </c>
      <c r="C416" s="17" t="s">
        <v>211</v>
      </c>
      <c r="D416" s="17">
        <v>109.41</v>
      </c>
      <c r="E416" s="17">
        <v>831</v>
      </c>
      <c r="F416" s="17">
        <v>5</v>
      </c>
      <c r="G416" s="17">
        <v>0</v>
      </c>
      <c r="H416" s="17">
        <v>0</v>
      </c>
      <c r="I416" s="17">
        <v>1</v>
      </c>
      <c r="J416" s="17">
        <v>109.41</v>
      </c>
      <c r="K416" s="17">
        <v>1</v>
      </c>
      <c r="L416" s="17">
        <v>109.41</v>
      </c>
      <c r="M416" s="17">
        <v>0</v>
      </c>
    </row>
    <row r="417" s="17" customFormat="1" spans="1:13">
      <c r="A417" s="17" t="s">
        <v>226</v>
      </c>
      <c r="B417" s="17" t="s">
        <v>210</v>
      </c>
      <c r="C417" s="17" t="s">
        <v>211</v>
      </c>
      <c r="D417" s="17">
        <v>111.97</v>
      </c>
      <c r="E417" s="17">
        <v>885</v>
      </c>
      <c r="F417" s="17">
        <v>4</v>
      </c>
      <c r="G417" s="17">
        <v>0</v>
      </c>
      <c r="H417" s="17">
        <v>0</v>
      </c>
      <c r="I417" s="17">
        <v>0</v>
      </c>
      <c r="J417" s="17">
        <v>0</v>
      </c>
      <c r="K417" s="17">
        <v>0</v>
      </c>
      <c r="L417" s="17">
        <v>0</v>
      </c>
      <c r="M417" s="17">
        <v>0</v>
      </c>
    </row>
    <row r="418" s="17" customFormat="1" spans="1:13">
      <c r="A418" s="17" t="s">
        <v>227</v>
      </c>
      <c r="B418" s="17" t="s">
        <v>210</v>
      </c>
      <c r="C418" s="17" t="s">
        <v>211</v>
      </c>
      <c r="D418" s="17">
        <v>81.79</v>
      </c>
      <c r="E418" s="17">
        <v>611</v>
      </c>
      <c r="F418" s="17">
        <v>4</v>
      </c>
      <c r="G418" s="17">
        <v>0</v>
      </c>
      <c r="H418" s="17">
        <v>0</v>
      </c>
      <c r="I418" s="17">
        <v>0</v>
      </c>
      <c r="J418" s="17">
        <v>0</v>
      </c>
      <c r="K418" s="17">
        <v>0</v>
      </c>
      <c r="L418" s="17">
        <v>0</v>
      </c>
      <c r="M418" s="17">
        <v>0</v>
      </c>
    </row>
    <row r="419" s="17" customFormat="1" spans="1:13">
      <c r="A419" s="17" t="s">
        <v>228</v>
      </c>
      <c r="B419" s="17" t="s">
        <v>210</v>
      </c>
      <c r="C419" s="17" t="s">
        <v>211</v>
      </c>
      <c r="D419" s="17">
        <v>24</v>
      </c>
      <c r="E419" s="17">
        <v>220</v>
      </c>
      <c r="F419" s="17">
        <v>0</v>
      </c>
      <c r="G419" s="17">
        <v>0</v>
      </c>
      <c r="H419" s="17">
        <v>0</v>
      </c>
      <c r="I419" s="17">
        <v>0</v>
      </c>
      <c r="J419" s="17">
        <v>0</v>
      </c>
      <c r="K419" s="17">
        <v>0</v>
      </c>
      <c r="L419" s="17">
        <v>0</v>
      </c>
      <c r="M419" s="17">
        <v>0</v>
      </c>
    </row>
    <row r="420" s="17" customFormat="1" spans="1:13">
      <c r="A420" s="17" t="s">
        <v>229</v>
      </c>
      <c r="B420" s="17" t="s">
        <v>210</v>
      </c>
      <c r="C420" s="17" t="s">
        <v>211</v>
      </c>
      <c r="D420" s="17">
        <v>29.82</v>
      </c>
      <c r="E420" s="17">
        <v>241</v>
      </c>
      <c r="F420" s="17">
        <v>3</v>
      </c>
      <c r="G420" s="17">
        <v>0</v>
      </c>
      <c r="H420" s="17">
        <v>0</v>
      </c>
      <c r="I420" s="17">
        <v>1</v>
      </c>
      <c r="J420" s="17">
        <v>29.82</v>
      </c>
      <c r="K420" s="17">
        <v>1</v>
      </c>
      <c r="L420" s="17">
        <v>29.82</v>
      </c>
      <c r="M420" s="17">
        <v>0</v>
      </c>
    </row>
    <row r="421" s="17" customFormat="1" spans="1:13">
      <c r="A421" s="17" t="s">
        <v>230</v>
      </c>
      <c r="B421" s="17" t="s">
        <v>210</v>
      </c>
      <c r="C421" s="17" t="s">
        <v>211</v>
      </c>
      <c r="D421" s="17">
        <v>23.59</v>
      </c>
      <c r="E421" s="17">
        <v>189</v>
      </c>
      <c r="F421" s="17">
        <v>0</v>
      </c>
      <c r="G421" s="17">
        <v>0</v>
      </c>
      <c r="H421" s="17">
        <v>0</v>
      </c>
      <c r="I421" s="17">
        <v>0</v>
      </c>
      <c r="J421" s="17">
        <v>0</v>
      </c>
      <c r="K421" s="17">
        <v>0</v>
      </c>
      <c r="L421" s="17">
        <v>0</v>
      </c>
      <c r="M421" s="17">
        <v>0</v>
      </c>
    </row>
    <row r="422" s="17" customFormat="1" spans="1:13">
      <c r="A422" s="17" t="s">
        <v>231</v>
      </c>
      <c r="B422" s="17" t="s">
        <v>210</v>
      </c>
      <c r="C422" s="17" t="s">
        <v>211</v>
      </c>
      <c r="D422" s="17">
        <v>18.92</v>
      </c>
      <c r="E422" s="17">
        <v>158</v>
      </c>
      <c r="F422" s="17">
        <v>0</v>
      </c>
      <c r="G422" s="17">
        <v>0</v>
      </c>
      <c r="H422" s="17">
        <v>0</v>
      </c>
      <c r="I422" s="17">
        <v>0</v>
      </c>
      <c r="J422" s="17">
        <v>0</v>
      </c>
      <c r="K422" s="17">
        <v>0</v>
      </c>
      <c r="L422" s="17">
        <v>0</v>
      </c>
      <c r="M422" s="17">
        <v>0</v>
      </c>
    </row>
    <row r="423" s="17" customFormat="1" spans="1:13">
      <c r="A423" s="17" t="s">
        <v>232</v>
      </c>
      <c r="B423" s="17" t="s">
        <v>210</v>
      </c>
      <c r="C423" s="17" t="s">
        <v>211</v>
      </c>
      <c r="D423" s="17">
        <v>18.32</v>
      </c>
      <c r="E423" s="17">
        <v>149</v>
      </c>
      <c r="F423" s="17">
        <v>2</v>
      </c>
      <c r="G423" s="17">
        <v>0</v>
      </c>
      <c r="H423" s="17">
        <v>0</v>
      </c>
      <c r="I423" s="17">
        <v>0</v>
      </c>
      <c r="J423" s="17">
        <v>0</v>
      </c>
      <c r="K423" s="17">
        <v>0</v>
      </c>
      <c r="L423" s="17">
        <v>0</v>
      </c>
      <c r="M423" s="17">
        <v>0</v>
      </c>
    </row>
    <row r="424" s="17" customFormat="1" spans="1:13">
      <c r="A424" s="17" t="s">
        <v>233</v>
      </c>
      <c r="B424" s="17" t="s">
        <v>210</v>
      </c>
      <c r="C424" s="17" t="s">
        <v>211</v>
      </c>
      <c r="D424" s="17">
        <v>19.44</v>
      </c>
      <c r="E424" s="17">
        <v>154</v>
      </c>
      <c r="F424" s="17">
        <v>2</v>
      </c>
      <c r="G424" s="17">
        <v>0</v>
      </c>
      <c r="H424" s="17">
        <v>0</v>
      </c>
      <c r="I424" s="17">
        <v>1</v>
      </c>
      <c r="J424" s="17">
        <v>19.44</v>
      </c>
      <c r="K424" s="17">
        <v>1</v>
      </c>
      <c r="L424" s="17">
        <v>19.44</v>
      </c>
      <c r="M424" s="17">
        <v>0</v>
      </c>
    </row>
    <row r="425" s="17" customFormat="1" spans="1:13">
      <c r="A425" s="17" t="s">
        <v>234</v>
      </c>
      <c r="B425" s="17" t="s">
        <v>210</v>
      </c>
      <c r="C425" s="17" t="s">
        <v>211</v>
      </c>
      <c r="D425" s="17">
        <v>50.54</v>
      </c>
      <c r="E425" s="17">
        <v>357</v>
      </c>
      <c r="F425" s="17">
        <v>4</v>
      </c>
      <c r="G425" s="17">
        <v>0</v>
      </c>
      <c r="H425" s="17">
        <v>0</v>
      </c>
      <c r="I425" s="17">
        <v>1</v>
      </c>
      <c r="J425" s="17">
        <v>50.54</v>
      </c>
      <c r="K425" s="17">
        <v>1</v>
      </c>
      <c r="L425" s="17">
        <v>50.54</v>
      </c>
      <c r="M425" s="17">
        <v>0</v>
      </c>
    </row>
    <row r="426" s="17" customFormat="1" spans="1:13">
      <c r="A426" s="17" t="s">
        <v>235</v>
      </c>
      <c r="B426" s="17" t="s">
        <v>210</v>
      </c>
      <c r="C426" s="17" t="s">
        <v>211</v>
      </c>
      <c r="D426" s="17">
        <v>42.05</v>
      </c>
      <c r="E426" s="17">
        <v>330</v>
      </c>
      <c r="F426" s="17">
        <v>2</v>
      </c>
      <c r="G426" s="17">
        <v>0</v>
      </c>
      <c r="H426" s="17">
        <v>0</v>
      </c>
      <c r="I426" s="17">
        <v>2</v>
      </c>
      <c r="J426" s="17">
        <v>21.03</v>
      </c>
      <c r="K426" s="17">
        <v>2</v>
      </c>
      <c r="L426" s="17">
        <v>21.03</v>
      </c>
      <c r="M426" s="17">
        <v>0</v>
      </c>
    </row>
    <row r="427" s="17" customFormat="1" spans="1:13">
      <c r="A427" s="17" t="s">
        <v>236</v>
      </c>
      <c r="B427" s="17" t="s">
        <v>210</v>
      </c>
      <c r="C427" s="17" t="s">
        <v>211</v>
      </c>
      <c r="D427" s="17">
        <v>43</v>
      </c>
      <c r="E427" s="17">
        <v>289</v>
      </c>
      <c r="F427" s="17">
        <v>3</v>
      </c>
      <c r="G427" s="17">
        <v>0</v>
      </c>
      <c r="H427" s="17">
        <v>0</v>
      </c>
      <c r="I427" s="17">
        <v>2</v>
      </c>
      <c r="J427" s="17">
        <v>21.5</v>
      </c>
      <c r="K427" s="17">
        <v>2</v>
      </c>
      <c r="L427" s="17">
        <v>21.5</v>
      </c>
      <c r="M427" s="17">
        <v>0</v>
      </c>
    </row>
    <row r="428" s="17" customFormat="1" spans="1:13">
      <c r="A428" s="17" t="s">
        <v>237</v>
      </c>
      <c r="B428" s="17" t="s">
        <v>210</v>
      </c>
      <c r="C428" s="17" t="s">
        <v>211</v>
      </c>
      <c r="D428" s="17">
        <v>40.1</v>
      </c>
      <c r="E428" s="17">
        <v>316</v>
      </c>
      <c r="F428" s="17">
        <v>0</v>
      </c>
      <c r="G428" s="17">
        <v>1</v>
      </c>
      <c r="H428" s="17">
        <v>40.1</v>
      </c>
      <c r="I428" s="17">
        <v>0</v>
      </c>
      <c r="J428" s="17">
        <v>0</v>
      </c>
      <c r="K428" s="17">
        <v>0</v>
      </c>
      <c r="L428" s="17">
        <v>0</v>
      </c>
      <c r="M428" s="17">
        <v>156</v>
      </c>
    </row>
    <row r="429" s="17" customFormat="1" spans="1:13">
      <c r="A429" s="17" t="s">
        <v>238</v>
      </c>
      <c r="B429" s="17" t="s">
        <v>210</v>
      </c>
      <c r="C429" s="17" t="s">
        <v>211</v>
      </c>
      <c r="D429" s="17">
        <v>87.66</v>
      </c>
      <c r="E429" s="17">
        <v>744</v>
      </c>
      <c r="F429" s="17">
        <v>2</v>
      </c>
      <c r="G429" s="17">
        <v>0</v>
      </c>
      <c r="H429" s="17">
        <v>0</v>
      </c>
      <c r="I429" s="17">
        <v>0</v>
      </c>
      <c r="J429" s="17">
        <v>0</v>
      </c>
      <c r="K429" s="17">
        <v>0</v>
      </c>
      <c r="L429" s="17">
        <v>0</v>
      </c>
      <c r="M429" s="17">
        <v>0</v>
      </c>
    </row>
    <row r="430" s="17" customFormat="1" spans="1:13">
      <c r="A430" s="17" t="s">
        <v>239</v>
      </c>
      <c r="B430" s="17" t="s">
        <v>210</v>
      </c>
      <c r="C430" s="17" t="s">
        <v>211</v>
      </c>
      <c r="D430" s="17">
        <v>60.81</v>
      </c>
      <c r="E430" s="17">
        <v>642</v>
      </c>
      <c r="F430" s="17">
        <v>4</v>
      </c>
      <c r="G430" s="17">
        <v>0</v>
      </c>
      <c r="H430" s="17">
        <v>0</v>
      </c>
      <c r="I430" s="17">
        <v>1</v>
      </c>
      <c r="J430" s="17">
        <v>60.81</v>
      </c>
      <c r="K430" s="17">
        <v>1</v>
      </c>
      <c r="L430" s="17">
        <v>60.81</v>
      </c>
      <c r="M430" s="17">
        <v>0</v>
      </c>
    </row>
    <row r="431" s="17" customFormat="1" spans="1:13">
      <c r="A431" s="17" t="s">
        <v>240</v>
      </c>
      <c r="B431" s="17" t="s">
        <v>210</v>
      </c>
      <c r="C431" s="17" t="s">
        <v>211</v>
      </c>
      <c r="D431" s="17">
        <v>39.63</v>
      </c>
      <c r="E431" s="17">
        <v>324</v>
      </c>
      <c r="F431" s="17">
        <v>3</v>
      </c>
      <c r="G431" s="17">
        <v>0</v>
      </c>
      <c r="H431" s="17">
        <v>0</v>
      </c>
      <c r="I431" s="17">
        <v>0</v>
      </c>
      <c r="J431" s="17">
        <v>0</v>
      </c>
      <c r="K431" s="17">
        <v>0</v>
      </c>
      <c r="L431" s="17">
        <v>0</v>
      </c>
      <c r="M431" s="17">
        <v>0</v>
      </c>
    </row>
    <row r="432" s="17" customFormat="1" spans="1:13">
      <c r="A432" s="17" t="s">
        <v>241</v>
      </c>
      <c r="B432" s="17" t="s">
        <v>210</v>
      </c>
      <c r="C432" s="17" t="s">
        <v>211</v>
      </c>
      <c r="D432" s="17">
        <v>21.83</v>
      </c>
      <c r="E432" s="17">
        <v>167</v>
      </c>
      <c r="F432" s="17">
        <v>0</v>
      </c>
      <c r="G432" s="17">
        <v>0</v>
      </c>
      <c r="H432" s="17">
        <v>0</v>
      </c>
      <c r="I432" s="17">
        <v>0</v>
      </c>
      <c r="J432" s="17">
        <v>0</v>
      </c>
      <c r="K432" s="17">
        <v>0</v>
      </c>
      <c r="L432" s="17">
        <v>0</v>
      </c>
      <c r="M432" s="17">
        <v>0</v>
      </c>
    </row>
    <row r="433" s="17" customFormat="1" spans="1:13">
      <c r="A433" s="17" t="s">
        <v>242</v>
      </c>
      <c r="B433" s="17" t="s">
        <v>210</v>
      </c>
      <c r="C433" s="17" t="s">
        <v>211</v>
      </c>
      <c r="D433" s="17">
        <v>16.49</v>
      </c>
      <c r="E433" s="17">
        <v>162</v>
      </c>
      <c r="F433" s="17">
        <v>0</v>
      </c>
      <c r="G433" s="17">
        <v>0</v>
      </c>
      <c r="H433" s="17">
        <v>0</v>
      </c>
      <c r="I433" s="17">
        <v>0</v>
      </c>
      <c r="J433" s="17">
        <v>0</v>
      </c>
      <c r="K433" s="17">
        <v>0</v>
      </c>
      <c r="L433" s="17">
        <v>0</v>
      </c>
      <c r="M433" s="17">
        <v>0</v>
      </c>
    </row>
    <row r="434" s="17" customFormat="1" spans="1:13">
      <c r="A434" s="17" t="s">
        <v>243</v>
      </c>
      <c r="B434" s="17" t="s">
        <v>210</v>
      </c>
      <c r="C434" s="17" t="s">
        <v>211</v>
      </c>
      <c r="D434" s="17">
        <v>18.42</v>
      </c>
      <c r="E434" s="17">
        <v>167</v>
      </c>
      <c r="F434" s="17">
        <v>3</v>
      </c>
      <c r="G434" s="17">
        <v>0</v>
      </c>
      <c r="H434" s="17">
        <v>0</v>
      </c>
      <c r="I434" s="17">
        <v>0</v>
      </c>
      <c r="J434" s="17">
        <v>0</v>
      </c>
      <c r="K434" s="17">
        <v>0</v>
      </c>
      <c r="L434" s="17">
        <v>0</v>
      </c>
      <c r="M434" s="17">
        <v>0</v>
      </c>
    </row>
    <row r="435" s="17" customFormat="1" spans="1:13">
      <c r="A435" s="17" t="s">
        <v>244</v>
      </c>
      <c r="B435" s="17" t="s">
        <v>210</v>
      </c>
      <c r="C435" s="17" t="s">
        <v>211</v>
      </c>
      <c r="D435" s="17">
        <v>27.79</v>
      </c>
      <c r="E435" s="17">
        <v>166</v>
      </c>
      <c r="F435" s="17">
        <v>2</v>
      </c>
      <c r="G435" s="17">
        <v>0</v>
      </c>
      <c r="H435" s="17">
        <v>0</v>
      </c>
      <c r="I435" s="17">
        <v>1</v>
      </c>
      <c r="J435" s="17">
        <v>27.79</v>
      </c>
      <c r="K435" s="17">
        <v>1</v>
      </c>
      <c r="L435" s="17">
        <v>27.79</v>
      </c>
      <c r="M435" s="17">
        <v>0</v>
      </c>
    </row>
    <row r="436" s="17" customFormat="1" spans="1:13">
      <c r="A436" s="17" t="s">
        <v>245</v>
      </c>
      <c r="B436" s="17" t="s">
        <v>210</v>
      </c>
      <c r="C436" s="17" t="s">
        <v>211</v>
      </c>
      <c r="D436" s="17">
        <v>33.43</v>
      </c>
      <c r="E436" s="17">
        <v>239</v>
      </c>
      <c r="F436" s="17">
        <v>3</v>
      </c>
      <c r="G436" s="17">
        <v>0</v>
      </c>
      <c r="H436" s="17">
        <v>0</v>
      </c>
      <c r="I436" s="17">
        <v>1</v>
      </c>
      <c r="J436" s="17">
        <v>33.43</v>
      </c>
      <c r="K436" s="17">
        <v>1</v>
      </c>
      <c r="L436" s="17">
        <v>33.43</v>
      </c>
      <c r="M436" s="17">
        <v>0</v>
      </c>
    </row>
    <row r="437" s="17" customFormat="1" spans="1:13">
      <c r="A437" s="17" t="s">
        <v>246</v>
      </c>
      <c r="B437" s="17" t="s">
        <v>210</v>
      </c>
      <c r="C437" s="17" t="s">
        <v>211</v>
      </c>
      <c r="D437" s="17">
        <v>45.56</v>
      </c>
      <c r="E437" s="17">
        <v>270</v>
      </c>
      <c r="F437" s="17">
        <v>0</v>
      </c>
      <c r="G437" s="17">
        <v>0</v>
      </c>
      <c r="H437" s="17">
        <v>0</v>
      </c>
      <c r="I437" s="17">
        <v>0</v>
      </c>
      <c r="J437" s="17">
        <v>0</v>
      </c>
      <c r="K437" s="17">
        <v>0</v>
      </c>
      <c r="L437" s="17">
        <v>0</v>
      </c>
      <c r="M437" s="17">
        <v>0</v>
      </c>
    </row>
    <row r="438" s="17" customFormat="1" spans="1:13">
      <c r="A438" s="17" t="s">
        <v>247</v>
      </c>
      <c r="B438" s="17" t="s">
        <v>210</v>
      </c>
      <c r="C438" s="17" t="s">
        <v>211</v>
      </c>
      <c r="D438" s="17">
        <v>57.5</v>
      </c>
      <c r="E438" s="17">
        <v>362</v>
      </c>
      <c r="F438" s="17">
        <v>4</v>
      </c>
      <c r="G438" s="17">
        <v>0</v>
      </c>
      <c r="H438" s="17">
        <v>0</v>
      </c>
      <c r="I438" s="17">
        <v>1</v>
      </c>
      <c r="J438" s="17">
        <v>57.5</v>
      </c>
      <c r="K438" s="17">
        <v>2</v>
      </c>
      <c r="L438" s="17">
        <v>28.75</v>
      </c>
      <c r="M438" s="17">
        <v>0</v>
      </c>
    </row>
    <row r="439" s="17" customFormat="1" spans="1:13">
      <c r="A439" s="17" t="s">
        <v>248</v>
      </c>
      <c r="B439" s="17" t="s">
        <v>210</v>
      </c>
      <c r="C439" s="17" t="s">
        <v>211</v>
      </c>
      <c r="D439" s="17">
        <v>53.58</v>
      </c>
      <c r="E439" s="17">
        <v>363</v>
      </c>
      <c r="F439" s="17">
        <v>5</v>
      </c>
      <c r="G439" s="17">
        <v>2</v>
      </c>
      <c r="H439" s="17">
        <v>26.79</v>
      </c>
      <c r="I439" s="17">
        <v>3</v>
      </c>
      <c r="J439" s="17">
        <v>17.86</v>
      </c>
      <c r="K439" s="17">
        <v>3</v>
      </c>
      <c r="L439" s="17">
        <v>17.86</v>
      </c>
      <c r="M439" s="17">
        <v>39.8</v>
      </c>
    </row>
    <row r="440" s="17" customFormat="1" spans="1:13">
      <c r="A440" s="17" t="s">
        <v>249</v>
      </c>
      <c r="B440" s="17" t="s">
        <v>210</v>
      </c>
      <c r="C440" s="17" t="s">
        <v>211</v>
      </c>
      <c r="D440" s="17">
        <v>61.23</v>
      </c>
      <c r="E440" s="17">
        <v>462</v>
      </c>
      <c r="F440" s="17">
        <v>1</v>
      </c>
      <c r="G440" s="17">
        <v>0</v>
      </c>
      <c r="H440" s="17">
        <v>0</v>
      </c>
      <c r="I440" s="17">
        <v>0</v>
      </c>
      <c r="J440" s="17">
        <v>0</v>
      </c>
      <c r="K440" s="17">
        <v>0</v>
      </c>
      <c r="L440" s="17">
        <v>0</v>
      </c>
      <c r="M440" s="17">
        <v>15.9</v>
      </c>
    </row>
    <row r="441" s="17" customFormat="1" spans="1:13">
      <c r="A441" s="17" t="s">
        <v>250</v>
      </c>
      <c r="B441" s="17" t="s">
        <v>210</v>
      </c>
      <c r="C441" s="17" t="s">
        <v>211</v>
      </c>
      <c r="D441" s="17">
        <v>127.67</v>
      </c>
      <c r="E441" s="17">
        <v>978</v>
      </c>
      <c r="F441" s="17">
        <v>4</v>
      </c>
      <c r="G441" s="17">
        <v>0</v>
      </c>
      <c r="H441" s="17">
        <v>0</v>
      </c>
      <c r="I441" s="17">
        <v>0</v>
      </c>
      <c r="J441" s="17">
        <v>0</v>
      </c>
      <c r="K441" s="17">
        <v>0</v>
      </c>
      <c r="L441" s="17">
        <v>0</v>
      </c>
      <c r="M441" s="17">
        <v>0</v>
      </c>
    </row>
    <row r="442" s="17" customFormat="1" spans="1:13">
      <c r="A442" s="17" t="s">
        <v>251</v>
      </c>
      <c r="B442" s="17" t="s">
        <v>210</v>
      </c>
      <c r="C442" s="17" t="s">
        <v>211</v>
      </c>
      <c r="D442" s="17">
        <v>126.67</v>
      </c>
      <c r="E442" s="17">
        <v>1091</v>
      </c>
      <c r="F442" s="17">
        <v>4</v>
      </c>
      <c r="G442" s="17">
        <v>0</v>
      </c>
      <c r="H442" s="17">
        <v>0</v>
      </c>
      <c r="I442" s="17">
        <v>2</v>
      </c>
      <c r="J442" s="17">
        <v>63.34</v>
      </c>
      <c r="K442" s="17">
        <v>2</v>
      </c>
      <c r="L442" s="17">
        <v>63.34</v>
      </c>
      <c r="M442" s="17">
        <v>0</v>
      </c>
    </row>
    <row r="443" s="17" customFormat="1" spans="1:13">
      <c r="A443" s="17" t="s">
        <v>252</v>
      </c>
      <c r="B443" s="17" t="s">
        <v>210</v>
      </c>
      <c r="C443" s="17" t="s">
        <v>211</v>
      </c>
      <c r="D443" s="17">
        <v>126.63</v>
      </c>
      <c r="E443" s="17">
        <v>1050</v>
      </c>
      <c r="F443" s="17">
        <v>5</v>
      </c>
      <c r="G443" s="17">
        <v>0</v>
      </c>
      <c r="H443" s="17">
        <v>0</v>
      </c>
      <c r="I443" s="17">
        <v>0</v>
      </c>
      <c r="J443" s="17">
        <v>0</v>
      </c>
      <c r="K443" s="17">
        <v>0</v>
      </c>
      <c r="L443" s="17">
        <v>0</v>
      </c>
      <c r="M443" s="17">
        <v>0</v>
      </c>
    </row>
    <row r="444" s="17" customFormat="1" spans="1:13">
      <c r="A444" s="17" t="s">
        <v>253</v>
      </c>
      <c r="B444" s="17" t="s">
        <v>210</v>
      </c>
      <c r="C444" s="17" t="s">
        <v>211</v>
      </c>
      <c r="D444" s="17">
        <v>93.54</v>
      </c>
      <c r="E444" s="17">
        <v>825</v>
      </c>
      <c r="F444" s="17">
        <v>3</v>
      </c>
      <c r="G444" s="17">
        <v>0</v>
      </c>
      <c r="H444" s="17">
        <v>0</v>
      </c>
      <c r="I444" s="17">
        <v>1</v>
      </c>
      <c r="J444" s="17">
        <v>93.54</v>
      </c>
      <c r="K444" s="17">
        <v>1</v>
      </c>
      <c r="L444" s="17">
        <v>93.54</v>
      </c>
      <c r="M444" s="17">
        <v>0</v>
      </c>
    </row>
    <row r="445" s="17" customFormat="1" spans="1:13">
      <c r="A445" s="17" t="s">
        <v>254</v>
      </c>
      <c r="B445" s="17" t="s">
        <v>210</v>
      </c>
      <c r="C445" s="17" t="s">
        <v>211</v>
      </c>
      <c r="D445" s="17">
        <v>0</v>
      </c>
      <c r="E445" s="17">
        <v>43</v>
      </c>
      <c r="F445" s="17">
        <v>0</v>
      </c>
      <c r="G445" s="17">
        <v>0</v>
      </c>
      <c r="H445" s="17">
        <v>0</v>
      </c>
      <c r="I445" s="17">
        <v>0</v>
      </c>
      <c r="J445" s="17">
        <v>0</v>
      </c>
      <c r="K445" s="17">
        <v>0</v>
      </c>
      <c r="L445" s="17">
        <v>0</v>
      </c>
      <c r="M445" s="17">
        <v>0</v>
      </c>
    </row>
    <row r="446" s="17" customFormat="1" spans="1:13">
      <c r="A446" s="17" t="s">
        <v>255</v>
      </c>
      <c r="B446" s="17" t="s">
        <v>210</v>
      </c>
      <c r="C446" s="17" t="s">
        <v>211</v>
      </c>
      <c r="D446" s="17">
        <v>30.1</v>
      </c>
      <c r="E446" s="17">
        <v>260</v>
      </c>
      <c r="F446" s="17">
        <v>3</v>
      </c>
      <c r="G446" s="17">
        <v>0</v>
      </c>
      <c r="H446" s="17">
        <v>0</v>
      </c>
      <c r="I446" s="17">
        <v>3</v>
      </c>
      <c r="J446" s="17">
        <v>10.03</v>
      </c>
      <c r="K446" s="17">
        <v>3</v>
      </c>
      <c r="L446" s="17">
        <v>10.03</v>
      </c>
      <c r="M446" s="17">
        <v>0</v>
      </c>
    </row>
    <row r="447" s="17" customFormat="1" spans="1:13">
      <c r="A447" s="17" t="s">
        <v>256</v>
      </c>
      <c r="B447" s="17" t="s">
        <v>210</v>
      </c>
      <c r="C447" s="17" t="s">
        <v>211</v>
      </c>
      <c r="D447" s="17">
        <v>0</v>
      </c>
      <c r="E447" s="17">
        <v>35</v>
      </c>
      <c r="F447" s="17">
        <v>0</v>
      </c>
      <c r="G447" s="17">
        <v>0</v>
      </c>
      <c r="H447" s="17">
        <v>0</v>
      </c>
      <c r="I447" s="17">
        <v>0</v>
      </c>
      <c r="J447" s="17">
        <v>0</v>
      </c>
      <c r="K447" s="17">
        <v>0</v>
      </c>
      <c r="L447" s="17">
        <v>0</v>
      </c>
      <c r="M447" s="17">
        <v>0</v>
      </c>
    </row>
    <row r="448" s="17" customFormat="1" spans="1:13">
      <c r="A448" s="17" t="s">
        <v>257</v>
      </c>
      <c r="B448" s="17" t="s">
        <v>210</v>
      </c>
      <c r="C448" s="17" t="s">
        <v>211</v>
      </c>
      <c r="D448" s="17">
        <v>0</v>
      </c>
      <c r="E448" s="17">
        <v>2</v>
      </c>
      <c r="F448" s="17">
        <v>1</v>
      </c>
      <c r="G448" s="17">
        <v>0</v>
      </c>
      <c r="H448" s="17">
        <v>0</v>
      </c>
      <c r="I448" s="17">
        <v>0</v>
      </c>
      <c r="J448" s="17">
        <v>0</v>
      </c>
      <c r="K448" s="17">
        <v>0</v>
      </c>
      <c r="L448" s="17">
        <v>0</v>
      </c>
      <c r="M448" s="17">
        <v>0</v>
      </c>
    </row>
    <row r="449" s="17" customFormat="1" spans="1:13">
      <c r="A449" s="17" t="s">
        <v>258</v>
      </c>
      <c r="B449" s="17" t="s">
        <v>210</v>
      </c>
      <c r="C449" s="17" t="s">
        <v>211</v>
      </c>
      <c r="D449" s="17">
        <v>0</v>
      </c>
      <c r="E449" s="17">
        <v>2</v>
      </c>
      <c r="F449" s="17">
        <v>0</v>
      </c>
      <c r="G449" s="17">
        <v>0</v>
      </c>
      <c r="H449" s="17">
        <v>0</v>
      </c>
      <c r="I449" s="17">
        <v>0</v>
      </c>
      <c r="J449" s="17">
        <v>0</v>
      </c>
      <c r="K449" s="17">
        <v>0</v>
      </c>
      <c r="L449" s="17">
        <v>0</v>
      </c>
      <c r="M449" s="17">
        <v>0</v>
      </c>
    </row>
    <row r="450" s="17" customFormat="1" spans="1:13">
      <c r="A450" s="17" t="s">
        <v>259</v>
      </c>
      <c r="B450" s="17" t="s">
        <v>210</v>
      </c>
      <c r="C450" s="17" t="s">
        <v>211</v>
      </c>
      <c r="D450" s="17">
        <v>0</v>
      </c>
      <c r="E450" s="17">
        <v>2</v>
      </c>
      <c r="F450" s="17">
        <v>0</v>
      </c>
      <c r="G450" s="17">
        <v>0</v>
      </c>
      <c r="H450" s="17">
        <v>0</v>
      </c>
      <c r="I450" s="17">
        <v>0</v>
      </c>
      <c r="J450" s="17">
        <v>0</v>
      </c>
      <c r="K450" s="17">
        <v>0</v>
      </c>
      <c r="L450" s="17">
        <v>0</v>
      </c>
      <c r="M450" s="17">
        <v>0</v>
      </c>
    </row>
    <row r="451" s="17" customFormat="1" spans="1:13">
      <c r="A451" s="17" t="s">
        <v>262</v>
      </c>
      <c r="B451" s="17" t="s">
        <v>210</v>
      </c>
      <c r="C451" s="17" t="s">
        <v>211</v>
      </c>
      <c r="D451" s="17">
        <v>100.35</v>
      </c>
      <c r="E451" s="17">
        <v>739</v>
      </c>
      <c r="F451" s="17">
        <v>2</v>
      </c>
      <c r="G451" s="17">
        <v>0</v>
      </c>
      <c r="H451" s="17">
        <v>0</v>
      </c>
      <c r="I451" s="17">
        <v>0</v>
      </c>
      <c r="J451" s="17">
        <v>0</v>
      </c>
      <c r="K451" s="17">
        <v>0</v>
      </c>
      <c r="L451" s="17">
        <v>0</v>
      </c>
      <c r="M451" s="17">
        <v>0</v>
      </c>
    </row>
    <row r="452" s="17" customFormat="1" spans="1:13">
      <c r="A452" s="17" t="s">
        <v>263</v>
      </c>
      <c r="B452" s="17" t="s">
        <v>210</v>
      </c>
      <c r="C452" s="17" t="s">
        <v>211</v>
      </c>
      <c r="D452" s="17">
        <v>68.35</v>
      </c>
      <c r="E452" s="17">
        <v>664</v>
      </c>
      <c r="F452" s="17">
        <v>1</v>
      </c>
      <c r="G452" s="17">
        <v>0</v>
      </c>
      <c r="H452" s="17">
        <v>0</v>
      </c>
      <c r="I452" s="17">
        <v>0</v>
      </c>
      <c r="J452" s="17">
        <v>0</v>
      </c>
      <c r="K452" s="17">
        <v>0</v>
      </c>
      <c r="L452" s="17">
        <v>0</v>
      </c>
      <c r="M452" s="17">
        <v>0</v>
      </c>
    </row>
    <row r="453" s="17" customFormat="1" spans="1:13">
      <c r="A453" s="17" t="s">
        <v>264</v>
      </c>
      <c r="B453" s="17" t="s">
        <v>210</v>
      </c>
      <c r="C453" s="17" t="s">
        <v>211</v>
      </c>
      <c r="D453" s="17">
        <v>38.61</v>
      </c>
      <c r="E453" s="17">
        <v>328</v>
      </c>
      <c r="F453" s="17">
        <v>2</v>
      </c>
      <c r="G453" s="17">
        <v>0</v>
      </c>
      <c r="H453" s="17">
        <v>0</v>
      </c>
      <c r="I453" s="17">
        <v>0</v>
      </c>
      <c r="J453" s="17">
        <v>0</v>
      </c>
      <c r="K453" s="17">
        <v>0</v>
      </c>
      <c r="L453" s="17">
        <v>0</v>
      </c>
      <c r="M453" s="17">
        <v>0</v>
      </c>
    </row>
    <row r="454" s="17" customFormat="1" spans="1:13">
      <c r="A454" s="17" t="s">
        <v>265</v>
      </c>
      <c r="B454" s="17" t="s">
        <v>210</v>
      </c>
      <c r="C454" s="17" t="s">
        <v>211</v>
      </c>
      <c r="D454" s="17">
        <v>25.17</v>
      </c>
      <c r="E454" s="17">
        <v>214</v>
      </c>
      <c r="F454" s="17">
        <v>2</v>
      </c>
      <c r="G454" s="17">
        <v>0</v>
      </c>
      <c r="H454" s="17">
        <v>0</v>
      </c>
      <c r="I454" s="17">
        <v>0</v>
      </c>
      <c r="J454" s="17">
        <v>0</v>
      </c>
      <c r="K454" s="17">
        <v>0</v>
      </c>
      <c r="L454" s="17">
        <v>0</v>
      </c>
      <c r="M454" s="17">
        <v>0</v>
      </c>
    </row>
    <row r="455" s="17" customFormat="1" spans="1:13">
      <c r="A455" s="17" t="s">
        <v>266</v>
      </c>
      <c r="B455" s="17" t="s">
        <v>210</v>
      </c>
      <c r="C455" s="17" t="s">
        <v>211</v>
      </c>
      <c r="D455" s="17">
        <v>20.65</v>
      </c>
      <c r="E455" s="17">
        <v>202</v>
      </c>
      <c r="F455" s="17">
        <v>0</v>
      </c>
      <c r="G455" s="17">
        <v>0</v>
      </c>
      <c r="H455" s="17">
        <v>0</v>
      </c>
      <c r="I455" s="17">
        <v>0</v>
      </c>
      <c r="J455" s="17">
        <v>0</v>
      </c>
      <c r="K455" s="17">
        <v>0</v>
      </c>
      <c r="L455" s="17">
        <v>0</v>
      </c>
      <c r="M455" s="17">
        <v>0</v>
      </c>
    </row>
    <row r="456" s="17" customFormat="1" spans="1:13">
      <c r="A456" s="17" t="s">
        <v>267</v>
      </c>
      <c r="B456" s="17" t="s">
        <v>210</v>
      </c>
      <c r="C456" s="17" t="s">
        <v>211</v>
      </c>
      <c r="D456" s="17">
        <v>23.1</v>
      </c>
      <c r="E456" s="17">
        <v>190</v>
      </c>
      <c r="F456" s="17">
        <v>1</v>
      </c>
      <c r="G456" s="17">
        <v>0</v>
      </c>
      <c r="H456" s="17">
        <v>0</v>
      </c>
      <c r="I456" s="17">
        <v>0</v>
      </c>
      <c r="J456" s="17">
        <v>0</v>
      </c>
      <c r="K456" s="17">
        <v>0</v>
      </c>
      <c r="L456" s="17">
        <v>0</v>
      </c>
      <c r="M456" s="17">
        <v>0</v>
      </c>
    </row>
    <row r="457" s="17" customFormat="1" spans="1:13">
      <c r="A457" s="17" t="s">
        <v>268</v>
      </c>
      <c r="B457" s="17" t="s">
        <v>210</v>
      </c>
      <c r="C457" s="17" t="s">
        <v>211</v>
      </c>
      <c r="D457" s="17">
        <v>32.39</v>
      </c>
      <c r="E457" s="17">
        <v>234</v>
      </c>
      <c r="F457" s="17">
        <v>0</v>
      </c>
      <c r="G457" s="17">
        <v>0</v>
      </c>
      <c r="H457" s="17">
        <v>0</v>
      </c>
      <c r="I457" s="17">
        <v>0</v>
      </c>
      <c r="J457" s="17">
        <v>0</v>
      </c>
      <c r="K457" s="17">
        <v>0</v>
      </c>
      <c r="L457" s="17">
        <v>0</v>
      </c>
      <c r="M457" s="17">
        <v>0</v>
      </c>
    </row>
    <row r="458" s="17" customFormat="1" spans="1:13">
      <c r="A458" s="17" t="s">
        <v>269</v>
      </c>
      <c r="B458" s="17" t="s">
        <v>210</v>
      </c>
      <c r="C458" s="17" t="s">
        <v>211</v>
      </c>
      <c r="D458" s="17">
        <v>36.86</v>
      </c>
      <c r="E458" s="17">
        <v>235</v>
      </c>
      <c r="F458" s="17">
        <v>0</v>
      </c>
      <c r="G458" s="17">
        <v>0</v>
      </c>
      <c r="H458" s="17">
        <v>0</v>
      </c>
      <c r="I458" s="17">
        <v>0</v>
      </c>
      <c r="J458" s="17">
        <v>0</v>
      </c>
      <c r="K458" s="17">
        <v>0</v>
      </c>
      <c r="L458" s="17">
        <v>0</v>
      </c>
      <c r="M458" s="17">
        <v>0</v>
      </c>
    </row>
    <row r="459" s="17" customFormat="1" spans="1:13">
      <c r="A459" s="17" t="s">
        <v>270</v>
      </c>
      <c r="B459" s="17" t="s">
        <v>210</v>
      </c>
      <c r="C459" s="17" t="s">
        <v>211</v>
      </c>
      <c r="D459" s="17">
        <v>42.53</v>
      </c>
      <c r="E459" s="17">
        <v>304</v>
      </c>
      <c r="F459" s="17">
        <v>1</v>
      </c>
      <c r="G459" s="17">
        <v>0</v>
      </c>
      <c r="H459" s="17">
        <v>0</v>
      </c>
      <c r="I459" s="17">
        <v>0</v>
      </c>
      <c r="J459" s="17">
        <v>0</v>
      </c>
      <c r="K459" s="17">
        <v>0</v>
      </c>
      <c r="L459" s="17">
        <v>0</v>
      </c>
      <c r="M459" s="17">
        <v>0</v>
      </c>
    </row>
    <row r="460" s="17" customFormat="1" spans="1:13">
      <c r="A460" s="17" t="s">
        <v>271</v>
      </c>
      <c r="B460" s="17" t="s">
        <v>210</v>
      </c>
      <c r="C460" s="17" t="s">
        <v>211</v>
      </c>
      <c r="D460" s="17">
        <v>52.01</v>
      </c>
      <c r="E460" s="17">
        <v>347</v>
      </c>
      <c r="F460" s="17">
        <v>1</v>
      </c>
      <c r="G460" s="17">
        <v>0</v>
      </c>
      <c r="H460" s="17">
        <v>0</v>
      </c>
      <c r="I460" s="17">
        <v>1</v>
      </c>
      <c r="J460" s="17">
        <v>52.01</v>
      </c>
      <c r="K460" s="17">
        <v>1</v>
      </c>
      <c r="L460" s="17">
        <v>52.01</v>
      </c>
      <c r="M460" s="17">
        <v>0</v>
      </c>
    </row>
    <row r="461" s="17" customFormat="1" spans="1:13">
      <c r="A461" s="17" t="s">
        <v>272</v>
      </c>
      <c r="B461" s="17" t="s">
        <v>210</v>
      </c>
      <c r="C461" s="17" t="s">
        <v>211</v>
      </c>
      <c r="D461" s="17">
        <v>58.31</v>
      </c>
      <c r="E461" s="17">
        <v>460</v>
      </c>
      <c r="F461" s="17">
        <v>0</v>
      </c>
      <c r="G461" s="17">
        <v>0</v>
      </c>
      <c r="H461" s="17">
        <v>0</v>
      </c>
      <c r="I461" s="17">
        <v>0</v>
      </c>
      <c r="J461" s="17">
        <v>0</v>
      </c>
      <c r="K461" s="17">
        <v>0</v>
      </c>
      <c r="L461" s="17">
        <v>0</v>
      </c>
      <c r="M461" s="17">
        <v>0</v>
      </c>
    </row>
    <row r="462" s="17" customFormat="1" spans="1:13">
      <c r="A462" s="17" t="s">
        <v>273</v>
      </c>
      <c r="B462" s="17" t="s">
        <v>210</v>
      </c>
      <c r="C462" s="17" t="s">
        <v>211</v>
      </c>
      <c r="D462" s="17">
        <v>65.27</v>
      </c>
      <c r="E462" s="17">
        <v>482</v>
      </c>
      <c r="F462" s="17">
        <v>3</v>
      </c>
      <c r="G462" s="17">
        <v>0</v>
      </c>
      <c r="H462" s="17">
        <v>0</v>
      </c>
      <c r="I462" s="17">
        <v>1</v>
      </c>
      <c r="J462" s="17">
        <v>65.27</v>
      </c>
      <c r="K462" s="17">
        <v>1</v>
      </c>
      <c r="L462" s="17">
        <v>65.27</v>
      </c>
      <c r="M462" s="17">
        <v>0</v>
      </c>
    </row>
    <row r="463" s="17" customFormat="1" spans="1:13">
      <c r="A463" s="17" t="s">
        <v>274</v>
      </c>
      <c r="B463" s="17" t="s">
        <v>210</v>
      </c>
      <c r="C463" s="17" t="s">
        <v>211</v>
      </c>
      <c r="D463" s="17">
        <v>62.31</v>
      </c>
      <c r="E463" s="17">
        <v>488</v>
      </c>
      <c r="F463" s="17">
        <v>6</v>
      </c>
      <c r="G463" s="17">
        <v>0</v>
      </c>
      <c r="H463" s="17">
        <v>0</v>
      </c>
      <c r="I463" s="17">
        <v>2</v>
      </c>
      <c r="J463" s="17">
        <v>31.16</v>
      </c>
      <c r="K463" s="17">
        <v>3</v>
      </c>
      <c r="L463" s="17">
        <v>20.77</v>
      </c>
      <c r="M463" s="17">
        <v>0</v>
      </c>
    </row>
    <row r="464" s="17" customFormat="1" spans="1:13">
      <c r="A464" s="17" t="s">
        <v>275</v>
      </c>
      <c r="B464" s="17" t="s">
        <v>210</v>
      </c>
      <c r="C464" s="17" t="s">
        <v>211</v>
      </c>
      <c r="D464" s="17">
        <v>51.26</v>
      </c>
      <c r="E464" s="17">
        <v>404</v>
      </c>
      <c r="F464" s="17">
        <v>1</v>
      </c>
      <c r="G464" s="17">
        <v>0</v>
      </c>
      <c r="H464" s="17">
        <v>0</v>
      </c>
      <c r="I464" s="17">
        <v>0</v>
      </c>
      <c r="J464" s="17">
        <v>0</v>
      </c>
      <c r="K464" s="17">
        <v>0</v>
      </c>
      <c r="L464" s="17">
        <v>0</v>
      </c>
      <c r="M464" s="17">
        <v>0</v>
      </c>
    </row>
    <row r="465" s="17" customFormat="1" spans="1:13">
      <c r="A465" s="17" t="s">
        <v>276</v>
      </c>
      <c r="B465" s="17" t="s">
        <v>210</v>
      </c>
      <c r="C465" s="17" t="s">
        <v>211</v>
      </c>
      <c r="D465" s="17">
        <v>47.59</v>
      </c>
      <c r="E465" s="17">
        <v>379</v>
      </c>
      <c r="F465" s="17">
        <v>1</v>
      </c>
      <c r="G465" s="17">
        <v>1</v>
      </c>
      <c r="H465" s="17">
        <v>47.59</v>
      </c>
      <c r="I465" s="17">
        <v>0</v>
      </c>
      <c r="J465" s="17">
        <v>0</v>
      </c>
      <c r="K465" s="17">
        <v>0</v>
      </c>
      <c r="L465" s="17">
        <v>0</v>
      </c>
      <c r="M465" s="17">
        <v>6</v>
      </c>
    </row>
    <row r="466" s="17" customFormat="1" spans="1:13">
      <c r="A466" s="17" t="s">
        <v>277</v>
      </c>
      <c r="B466" s="17" t="s">
        <v>210</v>
      </c>
      <c r="C466" s="17" t="s">
        <v>211</v>
      </c>
      <c r="D466" s="17">
        <v>40.08</v>
      </c>
      <c r="E466" s="17">
        <v>260</v>
      </c>
      <c r="F466" s="17">
        <v>3</v>
      </c>
      <c r="G466" s="17">
        <v>0</v>
      </c>
      <c r="H466" s="17">
        <v>0</v>
      </c>
      <c r="I466" s="17">
        <v>1</v>
      </c>
      <c r="J466" s="17">
        <v>40.08</v>
      </c>
      <c r="K466" s="17">
        <v>1</v>
      </c>
      <c r="L466" s="17">
        <v>40.08</v>
      </c>
      <c r="M466" s="17">
        <v>19.8</v>
      </c>
    </row>
    <row r="467" s="17" customFormat="1" spans="1:13">
      <c r="A467" s="17" t="s">
        <v>278</v>
      </c>
      <c r="B467" s="17" t="s">
        <v>210</v>
      </c>
      <c r="C467" s="17" t="s">
        <v>211</v>
      </c>
      <c r="D467" s="17">
        <v>11.08</v>
      </c>
      <c r="E467" s="17">
        <v>103</v>
      </c>
      <c r="F467" s="17">
        <v>1</v>
      </c>
      <c r="G467" s="17">
        <v>0</v>
      </c>
      <c r="H467" s="17">
        <v>0</v>
      </c>
      <c r="I467" s="17">
        <v>1</v>
      </c>
      <c r="J467" s="17">
        <v>11.08</v>
      </c>
      <c r="K467" s="17">
        <v>1</v>
      </c>
      <c r="L467" s="17">
        <v>11.08</v>
      </c>
      <c r="M467" s="17">
        <v>0</v>
      </c>
    </row>
    <row r="468" s="17" customFormat="1" spans="1:13">
      <c r="A468" s="17" t="s">
        <v>279</v>
      </c>
      <c r="B468" s="17" t="s">
        <v>210</v>
      </c>
      <c r="C468" s="17" t="s">
        <v>211</v>
      </c>
      <c r="D468" s="17">
        <v>0</v>
      </c>
      <c r="E468" s="17">
        <v>7</v>
      </c>
      <c r="F468" s="17">
        <v>0</v>
      </c>
      <c r="G468" s="17">
        <v>0</v>
      </c>
      <c r="H468" s="17">
        <v>0</v>
      </c>
      <c r="I468" s="17">
        <v>0</v>
      </c>
      <c r="J468" s="17">
        <v>0</v>
      </c>
      <c r="K468" s="17">
        <v>0</v>
      </c>
      <c r="L468" s="17">
        <v>0</v>
      </c>
      <c r="M468" s="17">
        <v>0</v>
      </c>
    </row>
    <row r="469" s="17" customFormat="1" spans="1:13">
      <c r="A469" s="17" t="s">
        <v>280</v>
      </c>
      <c r="B469" s="17" t="s">
        <v>210</v>
      </c>
      <c r="C469" s="17" t="s">
        <v>211</v>
      </c>
      <c r="D469" s="17">
        <v>0</v>
      </c>
      <c r="E469" s="17">
        <v>2</v>
      </c>
      <c r="F469" s="17">
        <v>0</v>
      </c>
      <c r="G469" s="17">
        <v>0</v>
      </c>
      <c r="H469" s="17">
        <v>0</v>
      </c>
      <c r="I469" s="17">
        <v>0</v>
      </c>
      <c r="J469" s="17">
        <v>0</v>
      </c>
      <c r="K469" s="17">
        <v>0</v>
      </c>
      <c r="L469" s="17">
        <v>0</v>
      </c>
      <c r="M469" s="17">
        <v>0</v>
      </c>
    </row>
    <row r="470" s="17" customFormat="1" spans="1:13">
      <c r="A470" s="17" t="s">
        <v>281</v>
      </c>
      <c r="B470" s="17" t="s">
        <v>210</v>
      </c>
      <c r="C470" s="17" t="s">
        <v>211</v>
      </c>
      <c r="D470" s="17">
        <v>0</v>
      </c>
      <c r="E470" s="17">
        <v>0</v>
      </c>
      <c r="F470" s="17">
        <v>0</v>
      </c>
      <c r="G470" s="17">
        <v>0</v>
      </c>
      <c r="H470" s="17">
        <v>0</v>
      </c>
      <c r="I470" s="17">
        <v>0</v>
      </c>
      <c r="J470" s="17">
        <v>0</v>
      </c>
      <c r="K470" s="17">
        <v>0</v>
      </c>
      <c r="L470" s="17">
        <v>0</v>
      </c>
      <c r="M470" s="17">
        <v>0</v>
      </c>
    </row>
    <row r="471" s="17" customFormat="1" spans="1:13">
      <c r="A471" s="17" t="s">
        <v>282</v>
      </c>
      <c r="B471" s="17" t="s">
        <v>210</v>
      </c>
      <c r="C471" s="17" t="s">
        <v>211</v>
      </c>
      <c r="D471" s="17">
        <v>0</v>
      </c>
      <c r="E471" s="17">
        <v>0</v>
      </c>
      <c r="F471" s="17">
        <v>0</v>
      </c>
      <c r="G471" s="17">
        <v>0</v>
      </c>
      <c r="H471" s="17">
        <v>0</v>
      </c>
      <c r="I471" s="17">
        <v>0</v>
      </c>
      <c r="J471" s="17">
        <v>0</v>
      </c>
      <c r="K471" s="17">
        <v>0</v>
      </c>
      <c r="L471" s="17">
        <v>0</v>
      </c>
      <c r="M471" s="17">
        <v>42</v>
      </c>
    </row>
    <row r="472" s="17" customFormat="1" spans="1:13">
      <c r="A472" s="17" t="s">
        <v>283</v>
      </c>
      <c r="B472" s="17" t="s">
        <v>210</v>
      </c>
      <c r="C472" s="17" t="s">
        <v>211</v>
      </c>
      <c r="D472" s="17">
        <v>0</v>
      </c>
      <c r="E472" s="17">
        <v>0</v>
      </c>
      <c r="F472" s="17">
        <v>0</v>
      </c>
      <c r="G472" s="17">
        <v>0</v>
      </c>
      <c r="H472" s="17">
        <v>0</v>
      </c>
      <c r="I472" s="17">
        <v>0</v>
      </c>
      <c r="J472" s="17">
        <v>0</v>
      </c>
      <c r="K472" s="17">
        <v>0</v>
      </c>
      <c r="L472" s="17">
        <v>0</v>
      </c>
      <c r="M472" s="17">
        <v>18</v>
      </c>
    </row>
    <row r="473" s="17" customFormat="1" spans="1:13">
      <c r="A473" s="17" t="s">
        <v>285</v>
      </c>
      <c r="B473" s="17" t="s">
        <v>210</v>
      </c>
      <c r="C473" s="17" t="s">
        <v>211</v>
      </c>
      <c r="D473" s="17">
        <v>0</v>
      </c>
      <c r="E473" s="17">
        <v>0</v>
      </c>
      <c r="F473" s="17">
        <v>0</v>
      </c>
      <c r="G473" s="17">
        <v>0</v>
      </c>
      <c r="H473" s="17">
        <v>0</v>
      </c>
      <c r="I473" s="17">
        <v>0</v>
      </c>
      <c r="J473" s="17">
        <v>0</v>
      </c>
      <c r="K473" s="17">
        <v>0</v>
      </c>
      <c r="L473" s="17">
        <v>0</v>
      </c>
      <c r="M473" s="17">
        <v>0</v>
      </c>
    </row>
    <row r="474" s="17" customFormat="1" spans="1:13">
      <c r="A474" s="17" t="s">
        <v>286</v>
      </c>
      <c r="B474" s="17" t="s">
        <v>210</v>
      </c>
      <c r="C474" s="17" t="s">
        <v>211</v>
      </c>
      <c r="D474" s="17">
        <v>0</v>
      </c>
      <c r="E474" s="17">
        <v>0</v>
      </c>
      <c r="F474" s="17">
        <v>0</v>
      </c>
      <c r="G474" s="17">
        <v>0</v>
      </c>
      <c r="H474" s="17">
        <v>0</v>
      </c>
      <c r="I474" s="17">
        <v>0</v>
      </c>
      <c r="J474" s="17">
        <v>0</v>
      </c>
      <c r="K474" s="17">
        <v>0</v>
      </c>
      <c r="L474" s="17">
        <v>0</v>
      </c>
      <c r="M474" s="17">
        <v>0</v>
      </c>
    </row>
    <row r="475" s="17" customFormat="1" spans="1:13">
      <c r="A475" s="17" t="s">
        <v>287</v>
      </c>
      <c r="B475" s="17" t="s">
        <v>210</v>
      </c>
      <c r="C475" s="17" t="s">
        <v>211</v>
      </c>
      <c r="D475" s="17">
        <v>0</v>
      </c>
      <c r="E475" s="17">
        <v>0</v>
      </c>
      <c r="F475" s="17">
        <v>0</v>
      </c>
      <c r="G475" s="17">
        <v>0</v>
      </c>
      <c r="H475" s="17">
        <v>0</v>
      </c>
      <c r="I475" s="17">
        <v>0</v>
      </c>
      <c r="J475" s="17">
        <v>0</v>
      </c>
      <c r="K475" s="17">
        <v>0</v>
      </c>
      <c r="L475" s="17">
        <v>0</v>
      </c>
      <c r="M475" s="17">
        <v>0</v>
      </c>
    </row>
    <row r="476" s="17" customFormat="1" spans="1:13">
      <c r="A476" s="17" t="s">
        <v>291</v>
      </c>
      <c r="B476" s="17" t="s">
        <v>210</v>
      </c>
      <c r="C476" s="17" t="s">
        <v>211</v>
      </c>
      <c r="D476" s="17">
        <v>0</v>
      </c>
      <c r="E476" s="17">
        <v>0</v>
      </c>
      <c r="F476" s="17">
        <v>0</v>
      </c>
      <c r="G476" s="17">
        <v>0</v>
      </c>
      <c r="H476" s="17">
        <v>0</v>
      </c>
      <c r="I476" s="17">
        <v>0</v>
      </c>
      <c r="J476" s="17">
        <v>0</v>
      </c>
      <c r="K476" s="17">
        <v>0</v>
      </c>
      <c r="L476" s="17">
        <v>0</v>
      </c>
      <c r="M476" s="17">
        <v>0</v>
      </c>
    </row>
    <row r="477" s="17" customFormat="1" spans="1:13">
      <c r="A477" s="17" t="s">
        <v>296</v>
      </c>
      <c r="B477" s="17" t="s">
        <v>210</v>
      </c>
      <c r="C477" s="17" t="s">
        <v>211</v>
      </c>
      <c r="D477" s="17">
        <v>0</v>
      </c>
      <c r="E477" s="17">
        <v>0</v>
      </c>
      <c r="F477" s="17">
        <v>0</v>
      </c>
      <c r="G477" s="17">
        <v>0</v>
      </c>
      <c r="H477" s="17">
        <v>0</v>
      </c>
      <c r="I477" s="17">
        <v>0</v>
      </c>
      <c r="J477" s="17">
        <v>0</v>
      </c>
      <c r="K477" s="17">
        <v>0</v>
      </c>
      <c r="L477" s="17">
        <v>0</v>
      </c>
      <c r="M477" s="17">
        <v>0</v>
      </c>
    </row>
    <row r="478" s="17" customFormat="1" spans="1:13">
      <c r="A478" s="17" t="s">
        <v>301</v>
      </c>
      <c r="B478" s="17" t="s">
        <v>210</v>
      </c>
      <c r="C478" s="17" t="s">
        <v>211</v>
      </c>
      <c r="D478" s="17">
        <v>0</v>
      </c>
      <c r="E478" s="17">
        <v>0</v>
      </c>
      <c r="F478" s="17">
        <v>0</v>
      </c>
      <c r="G478" s="17">
        <v>0</v>
      </c>
      <c r="H478" s="17">
        <v>0</v>
      </c>
      <c r="I478" s="17">
        <v>0</v>
      </c>
      <c r="J478" s="17">
        <v>0</v>
      </c>
      <c r="K478" s="17">
        <v>0</v>
      </c>
      <c r="L478" s="17">
        <v>0</v>
      </c>
      <c r="M478" s="17">
        <v>0</v>
      </c>
    </row>
    <row r="479" s="17" customFormat="1" spans="1:13">
      <c r="A479" s="17" t="s">
        <v>309</v>
      </c>
      <c r="B479" s="17" t="s">
        <v>210</v>
      </c>
      <c r="C479" s="17" t="s">
        <v>211</v>
      </c>
      <c r="D479" s="17">
        <v>0</v>
      </c>
      <c r="E479" s="17">
        <v>0</v>
      </c>
      <c r="F479" s="17">
        <v>0</v>
      </c>
      <c r="G479" s="17">
        <v>0</v>
      </c>
      <c r="H479" s="17">
        <v>0</v>
      </c>
      <c r="I479" s="17">
        <v>0</v>
      </c>
      <c r="J479" s="17">
        <v>0</v>
      </c>
      <c r="K479" s="17">
        <v>0</v>
      </c>
      <c r="L479" s="17">
        <v>0</v>
      </c>
      <c r="M479" s="17">
        <v>0</v>
      </c>
    </row>
    <row r="480" s="17" customFormat="1" spans="1:13">
      <c r="A480" s="17" t="s">
        <v>310</v>
      </c>
      <c r="B480" s="17" t="s">
        <v>210</v>
      </c>
      <c r="C480" s="17" t="s">
        <v>211</v>
      </c>
      <c r="D480" s="17">
        <v>0</v>
      </c>
      <c r="E480" s="17">
        <v>0</v>
      </c>
      <c r="F480" s="17">
        <v>0</v>
      </c>
      <c r="G480" s="17">
        <v>0</v>
      </c>
      <c r="H480" s="17">
        <v>0</v>
      </c>
      <c r="I480" s="17">
        <v>0</v>
      </c>
      <c r="J480" s="17">
        <v>0</v>
      </c>
      <c r="K480" s="17">
        <v>0</v>
      </c>
      <c r="L480" s="17">
        <v>0</v>
      </c>
      <c r="M480" s="17">
        <v>0</v>
      </c>
    </row>
    <row r="481" s="17" customFormat="1" spans="1:13">
      <c r="A481" s="17" t="s">
        <v>316</v>
      </c>
      <c r="B481" s="17" t="s">
        <v>210</v>
      </c>
      <c r="C481" s="17" t="s">
        <v>211</v>
      </c>
      <c r="D481" s="17">
        <v>0</v>
      </c>
      <c r="E481" s="17">
        <v>0</v>
      </c>
      <c r="F481" s="17">
        <v>0</v>
      </c>
      <c r="G481" s="17">
        <v>0</v>
      </c>
      <c r="H481" s="17">
        <v>0</v>
      </c>
      <c r="I481" s="17">
        <v>0</v>
      </c>
      <c r="J481" s="17">
        <v>0</v>
      </c>
      <c r="K481" s="17">
        <v>0</v>
      </c>
      <c r="L481" s="17">
        <v>0</v>
      </c>
      <c r="M481" s="17">
        <v>0</v>
      </c>
    </row>
    <row r="482" s="17" customFormat="1" spans="1:13">
      <c r="A482" s="17" t="s">
        <v>338</v>
      </c>
      <c r="B482" s="17" t="s">
        <v>210</v>
      </c>
      <c r="C482" s="17" t="s">
        <v>211</v>
      </c>
      <c r="D482" s="17">
        <v>0</v>
      </c>
      <c r="E482" s="17">
        <v>0</v>
      </c>
      <c r="F482" s="17">
        <v>0</v>
      </c>
      <c r="G482" s="17">
        <v>0</v>
      </c>
      <c r="H482" s="17">
        <v>0</v>
      </c>
      <c r="I482" s="17">
        <v>0</v>
      </c>
      <c r="J482" s="17">
        <v>0</v>
      </c>
      <c r="K482" s="17">
        <v>0</v>
      </c>
      <c r="L482" s="17">
        <v>0</v>
      </c>
      <c r="M482" s="17">
        <v>0</v>
      </c>
    </row>
    <row r="483" s="17" customFormat="1" spans="1:13">
      <c r="A483" s="17" t="s">
        <v>341</v>
      </c>
      <c r="B483" s="17" t="s">
        <v>210</v>
      </c>
      <c r="C483" s="17" t="s">
        <v>211</v>
      </c>
      <c r="D483" s="17">
        <v>0</v>
      </c>
      <c r="E483" s="17">
        <v>0</v>
      </c>
      <c r="F483" s="17">
        <v>0</v>
      </c>
      <c r="G483" s="17">
        <v>0</v>
      </c>
      <c r="H483" s="17">
        <v>0</v>
      </c>
      <c r="I483" s="17">
        <v>0</v>
      </c>
      <c r="J483" s="17">
        <v>0</v>
      </c>
      <c r="K483" s="17">
        <v>0</v>
      </c>
      <c r="L483" s="17">
        <v>0</v>
      </c>
      <c r="M483" s="17">
        <v>0</v>
      </c>
    </row>
    <row r="484" s="17" customFormat="1" spans="1:13">
      <c r="A484" s="17" t="s">
        <v>351</v>
      </c>
      <c r="B484" s="17" t="s">
        <v>210</v>
      </c>
      <c r="C484" s="17" t="s">
        <v>211</v>
      </c>
      <c r="D484" s="17">
        <v>0</v>
      </c>
      <c r="E484" s="17">
        <v>0</v>
      </c>
      <c r="F484" s="17">
        <v>0</v>
      </c>
      <c r="G484" s="17">
        <v>0</v>
      </c>
      <c r="H484" s="17">
        <v>0</v>
      </c>
      <c r="I484" s="17">
        <v>0</v>
      </c>
      <c r="J484" s="17">
        <v>0</v>
      </c>
      <c r="K484" s="17">
        <v>0</v>
      </c>
      <c r="L484" s="17">
        <v>0</v>
      </c>
      <c r="M484" s="17">
        <v>0</v>
      </c>
    </row>
    <row r="485" s="17" customFormat="1" spans="1:13">
      <c r="A485" s="17" t="s">
        <v>358</v>
      </c>
      <c r="B485" s="17" t="s">
        <v>210</v>
      </c>
      <c r="C485" s="17" t="s">
        <v>211</v>
      </c>
      <c r="D485" s="17">
        <v>0</v>
      </c>
      <c r="E485" s="17">
        <v>0</v>
      </c>
      <c r="F485" s="17">
        <v>0</v>
      </c>
      <c r="G485" s="17">
        <v>0</v>
      </c>
      <c r="H485" s="17">
        <v>0</v>
      </c>
      <c r="I485" s="17">
        <v>0</v>
      </c>
      <c r="J485" s="17">
        <v>0</v>
      </c>
      <c r="K485" s="17">
        <v>0</v>
      </c>
      <c r="L485" s="17">
        <v>0</v>
      </c>
      <c r="M485" s="17">
        <v>0</v>
      </c>
    </row>
    <row r="486" s="17" customFormat="1" spans="1:13">
      <c r="A486" s="17" t="s">
        <v>360</v>
      </c>
      <c r="B486" s="17" t="s">
        <v>210</v>
      </c>
      <c r="C486" s="17" t="s">
        <v>211</v>
      </c>
      <c r="D486" s="17">
        <v>0</v>
      </c>
      <c r="E486" s="17">
        <v>0</v>
      </c>
      <c r="F486" s="17">
        <v>0</v>
      </c>
      <c r="G486" s="17">
        <v>0</v>
      </c>
      <c r="H486" s="17">
        <v>0</v>
      </c>
      <c r="I486" s="17">
        <v>0</v>
      </c>
      <c r="J486" s="17">
        <v>0</v>
      </c>
      <c r="K486" s="17">
        <v>0</v>
      </c>
      <c r="L486" s="17">
        <v>0</v>
      </c>
      <c r="M486" s="17">
        <v>0</v>
      </c>
    </row>
    <row r="487" s="17" customFormat="1" spans="1:13">
      <c r="A487" s="17" t="s">
        <v>214</v>
      </c>
      <c r="B487" s="17" t="s">
        <v>212</v>
      </c>
      <c r="C487" s="17" t="s">
        <v>213</v>
      </c>
      <c r="D487" s="17">
        <v>9.79</v>
      </c>
      <c r="E487" s="17">
        <v>16</v>
      </c>
      <c r="F487" s="17">
        <v>1</v>
      </c>
      <c r="G487" s="17">
        <v>0</v>
      </c>
      <c r="H487" s="17">
        <v>0</v>
      </c>
      <c r="I487" s="17">
        <v>0</v>
      </c>
      <c r="J487" s="17">
        <v>0</v>
      </c>
      <c r="K487" s="17">
        <v>0</v>
      </c>
      <c r="L487" s="17">
        <v>0</v>
      </c>
      <c r="M487" s="17">
        <v>0</v>
      </c>
    </row>
    <row r="488" s="17" customFormat="1" spans="1:13">
      <c r="A488" s="17" t="s">
        <v>231</v>
      </c>
      <c r="B488" s="17" t="s">
        <v>212</v>
      </c>
      <c r="C488" s="17" t="s">
        <v>213</v>
      </c>
      <c r="D488" s="17">
        <v>154.23</v>
      </c>
      <c r="E488" s="17">
        <v>1772</v>
      </c>
      <c r="F488" s="17">
        <v>36</v>
      </c>
      <c r="G488" s="17">
        <v>0</v>
      </c>
      <c r="H488" s="17">
        <v>0</v>
      </c>
      <c r="I488" s="17">
        <v>9</v>
      </c>
      <c r="J488" s="17">
        <v>17.14</v>
      </c>
      <c r="K488" s="17">
        <v>11</v>
      </c>
      <c r="L488" s="17">
        <v>14.02</v>
      </c>
      <c r="M488" s="17">
        <v>0</v>
      </c>
    </row>
    <row r="489" s="17" customFormat="1" spans="1:13">
      <c r="A489" s="17" t="s">
        <v>232</v>
      </c>
      <c r="B489" s="17" t="s">
        <v>212</v>
      </c>
      <c r="C489" s="17" t="s">
        <v>213</v>
      </c>
      <c r="D489" s="17">
        <v>325.99</v>
      </c>
      <c r="E489" s="17">
        <v>3302</v>
      </c>
      <c r="F489" s="17">
        <v>80</v>
      </c>
      <c r="G489" s="17">
        <v>1</v>
      </c>
      <c r="H489" s="17">
        <v>325.99</v>
      </c>
      <c r="I489" s="17">
        <v>21</v>
      </c>
      <c r="J489" s="17">
        <v>15.52</v>
      </c>
      <c r="K489" s="17">
        <v>28</v>
      </c>
      <c r="L489" s="17">
        <v>11.64</v>
      </c>
      <c r="M489" s="17">
        <v>30</v>
      </c>
    </row>
    <row r="490" s="17" customFormat="1" spans="1:13">
      <c r="A490" s="17" t="s">
        <v>233</v>
      </c>
      <c r="B490" s="17" t="s">
        <v>212</v>
      </c>
      <c r="C490" s="17" t="s">
        <v>213</v>
      </c>
      <c r="D490" s="17">
        <v>273.52</v>
      </c>
      <c r="E490" s="17">
        <v>3101</v>
      </c>
      <c r="F490" s="17">
        <v>80</v>
      </c>
      <c r="G490" s="17">
        <v>0</v>
      </c>
      <c r="H490" s="17">
        <v>0</v>
      </c>
      <c r="I490" s="17">
        <v>26</v>
      </c>
      <c r="J490" s="17">
        <v>10.52</v>
      </c>
      <c r="K490" s="17">
        <v>29</v>
      </c>
      <c r="L490" s="17">
        <v>9.43</v>
      </c>
      <c r="M490" s="17">
        <v>0</v>
      </c>
    </row>
    <row r="491" s="17" customFormat="1" spans="1:13">
      <c r="A491" s="17" t="s">
        <v>234</v>
      </c>
      <c r="B491" s="17" t="s">
        <v>212</v>
      </c>
      <c r="C491" s="17" t="s">
        <v>213</v>
      </c>
      <c r="D491" s="17">
        <v>435.8</v>
      </c>
      <c r="E491" s="17">
        <v>5852</v>
      </c>
      <c r="F491" s="17">
        <v>155</v>
      </c>
      <c r="G491" s="17">
        <v>5</v>
      </c>
      <c r="H491" s="17">
        <v>87.16</v>
      </c>
      <c r="I491" s="17">
        <v>44</v>
      </c>
      <c r="J491" s="17">
        <v>9.9</v>
      </c>
      <c r="K491" s="17">
        <v>53</v>
      </c>
      <c r="L491" s="17">
        <v>8.22</v>
      </c>
      <c r="M491" s="17">
        <v>83.9</v>
      </c>
    </row>
    <row r="492" s="17" customFormat="1" spans="1:13">
      <c r="A492" s="17" t="s">
        <v>235</v>
      </c>
      <c r="B492" s="17" t="s">
        <v>212</v>
      </c>
      <c r="C492" s="17" t="s">
        <v>213</v>
      </c>
      <c r="D492" s="17">
        <v>518.18</v>
      </c>
      <c r="E492" s="17">
        <v>6938</v>
      </c>
      <c r="F492" s="17">
        <v>224</v>
      </c>
      <c r="G492" s="17">
        <v>2</v>
      </c>
      <c r="H492" s="17">
        <v>259.09</v>
      </c>
      <c r="I492" s="17">
        <v>54</v>
      </c>
      <c r="J492" s="17">
        <v>9.6</v>
      </c>
      <c r="K492" s="17">
        <v>61</v>
      </c>
      <c r="L492" s="17">
        <v>8.49</v>
      </c>
      <c r="M492" s="17">
        <v>373.9</v>
      </c>
    </row>
    <row r="493" s="17" customFormat="1" spans="1:13">
      <c r="A493" s="17" t="s">
        <v>236</v>
      </c>
      <c r="B493" s="17" t="s">
        <v>212</v>
      </c>
      <c r="C493" s="17" t="s">
        <v>213</v>
      </c>
      <c r="D493" s="17">
        <v>837</v>
      </c>
      <c r="E493" s="17">
        <v>12174</v>
      </c>
      <c r="F493" s="17">
        <v>305</v>
      </c>
      <c r="G493" s="17">
        <v>4</v>
      </c>
      <c r="H493" s="17">
        <v>209.25</v>
      </c>
      <c r="I493" s="17">
        <v>89</v>
      </c>
      <c r="J493" s="17">
        <v>9.4</v>
      </c>
      <c r="K493" s="17">
        <v>97</v>
      </c>
      <c r="L493" s="17">
        <v>8.63</v>
      </c>
      <c r="M493" s="17">
        <v>258</v>
      </c>
    </row>
    <row r="494" s="17" customFormat="1" spans="1:13">
      <c r="A494" s="17" t="s">
        <v>237</v>
      </c>
      <c r="B494" s="17" t="s">
        <v>212</v>
      </c>
      <c r="C494" s="17" t="s">
        <v>213</v>
      </c>
      <c r="D494" s="17">
        <v>1212.14</v>
      </c>
      <c r="E494" s="17">
        <v>18880</v>
      </c>
      <c r="F494" s="17">
        <v>453</v>
      </c>
      <c r="G494" s="17">
        <v>2</v>
      </c>
      <c r="H494" s="17">
        <v>606.07</v>
      </c>
      <c r="I494" s="17">
        <v>124</v>
      </c>
      <c r="J494" s="17">
        <v>9.78</v>
      </c>
      <c r="K494" s="17">
        <v>137</v>
      </c>
      <c r="L494" s="17">
        <v>8.85</v>
      </c>
      <c r="M494" s="17">
        <v>54</v>
      </c>
    </row>
    <row r="495" s="17" customFormat="1" spans="1:13">
      <c r="A495" s="17" t="s">
        <v>238</v>
      </c>
      <c r="B495" s="17" t="s">
        <v>212</v>
      </c>
      <c r="C495" s="17" t="s">
        <v>213</v>
      </c>
      <c r="D495" s="17">
        <v>474.72</v>
      </c>
      <c r="E495" s="17">
        <v>7153</v>
      </c>
      <c r="F495" s="17">
        <v>147</v>
      </c>
      <c r="G495" s="17">
        <v>2</v>
      </c>
      <c r="H495" s="17">
        <v>237.36</v>
      </c>
      <c r="I495" s="17">
        <v>52</v>
      </c>
      <c r="J495" s="17">
        <v>9.13</v>
      </c>
      <c r="K495" s="17">
        <v>57</v>
      </c>
      <c r="L495" s="17">
        <v>8.33</v>
      </c>
      <c r="M495" s="17">
        <v>18</v>
      </c>
    </row>
    <row r="496" s="17" customFormat="1" spans="1:13">
      <c r="A496" s="17" t="s">
        <v>239</v>
      </c>
      <c r="B496" s="17" t="s">
        <v>212</v>
      </c>
      <c r="C496" s="17" t="s">
        <v>213</v>
      </c>
      <c r="D496" s="17">
        <v>316.18</v>
      </c>
      <c r="E496" s="17">
        <v>4262</v>
      </c>
      <c r="F496" s="17">
        <v>100</v>
      </c>
      <c r="G496" s="17">
        <v>1</v>
      </c>
      <c r="H496" s="17">
        <v>316.18</v>
      </c>
      <c r="I496" s="17">
        <v>40</v>
      </c>
      <c r="J496" s="17">
        <v>7.9</v>
      </c>
      <c r="K496" s="17">
        <v>43</v>
      </c>
      <c r="L496" s="17">
        <v>7.35</v>
      </c>
      <c r="M496" s="17">
        <v>12</v>
      </c>
    </row>
    <row r="497" s="17" customFormat="1" spans="1:13">
      <c r="A497" s="17" t="s">
        <v>240</v>
      </c>
      <c r="B497" s="17" t="s">
        <v>212</v>
      </c>
      <c r="C497" s="17" t="s">
        <v>213</v>
      </c>
      <c r="D497" s="17">
        <v>332.88</v>
      </c>
      <c r="E497" s="17">
        <v>4073</v>
      </c>
      <c r="F497" s="17">
        <v>86</v>
      </c>
      <c r="G497" s="17">
        <v>2</v>
      </c>
      <c r="H497" s="17">
        <v>166.44</v>
      </c>
      <c r="I497" s="17">
        <v>30</v>
      </c>
      <c r="J497" s="17">
        <v>11.1</v>
      </c>
      <c r="K497" s="17">
        <v>30</v>
      </c>
      <c r="L497" s="17">
        <v>11.1</v>
      </c>
      <c r="M497" s="17">
        <v>42</v>
      </c>
    </row>
    <row r="498" s="17" customFormat="1" spans="1:13">
      <c r="A498" s="17" t="s">
        <v>241</v>
      </c>
      <c r="B498" s="17" t="s">
        <v>212</v>
      </c>
      <c r="C498" s="17" t="s">
        <v>213</v>
      </c>
      <c r="D498" s="17">
        <v>377.34</v>
      </c>
      <c r="E498" s="17">
        <v>5019</v>
      </c>
      <c r="F498" s="17">
        <v>133</v>
      </c>
      <c r="G498" s="17">
        <v>0</v>
      </c>
      <c r="H498" s="17">
        <v>0</v>
      </c>
      <c r="I498" s="17">
        <v>49</v>
      </c>
      <c r="J498" s="17">
        <v>7.7</v>
      </c>
      <c r="K498" s="17">
        <v>49</v>
      </c>
      <c r="L498" s="17">
        <v>7.7</v>
      </c>
      <c r="M498" s="17">
        <v>0</v>
      </c>
    </row>
    <row r="499" s="17" customFormat="1" spans="1:13">
      <c r="A499" s="17" t="s">
        <v>242</v>
      </c>
      <c r="B499" s="17" t="s">
        <v>212</v>
      </c>
      <c r="C499" s="17" t="s">
        <v>213</v>
      </c>
      <c r="D499" s="17">
        <v>397.52</v>
      </c>
      <c r="E499" s="17">
        <v>5320</v>
      </c>
      <c r="F499" s="17">
        <v>164</v>
      </c>
      <c r="G499" s="17">
        <v>1</v>
      </c>
      <c r="H499" s="17">
        <v>397.52</v>
      </c>
      <c r="I499" s="17">
        <v>54</v>
      </c>
      <c r="J499" s="17">
        <v>7.36</v>
      </c>
      <c r="K499" s="17">
        <v>60</v>
      </c>
      <c r="L499" s="17">
        <v>6.63</v>
      </c>
      <c r="M499" s="17">
        <v>12</v>
      </c>
    </row>
    <row r="500" s="17" customFormat="1" spans="1:13">
      <c r="A500" s="17" t="s">
        <v>243</v>
      </c>
      <c r="B500" s="17" t="s">
        <v>212</v>
      </c>
      <c r="C500" s="17" t="s">
        <v>213</v>
      </c>
      <c r="D500" s="17">
        <v>615.28</v>
      </c>
      <c r="E500" s="17">
        <v>8000</v>
      </c>
      <c r="F500" s="17">
        <v>226</v>
      </c>
      <c r="G500" s="17">
        <v>1</v>
      </c>
      <c r="H500" s="17">
        <v>615.28</v>
      </c>
      <c r="I500" s="17">
        <v>79</v>
      </c>
      <c r="J500" s="17">
        <v>7.79</v>
      </c>
      <c r="K500" s="17">
        <v>85</v>
      </c>
      <c r="L500" s="17">
        <v>7.24</v>
      </c>
      <c r="M500" s="17">
        <v>12</v>
      </c>
    </row>
    <row r="501" s="17" customFormat="1" spans="1:13">
      <c r="A501" s="17" t="s">
        <v>244</v>
      </c>
      <c r="B501" s="17" t="s">
        <v>212</v>
      </c>
      <c r="C501" s="17" t="s">
        <v>213</v>
      </c>
      <c r="D501" s="17">
        <v>706.99</v>
      </c>
      <c r="E501" s="17">
        <v>9509</v>
      </c>
      <c r="F501" s="17">
        <v>247</v>
      </c>
      <c r="G501" s="17">
        <v>3</v>
      </c>
      <c r="H501" s="17">
        <v>235.66</v>
      </c>
      <c r="I501" s="17">
        <v>72</v>
      </c>
      <c r="J501" s="17">
        <v>9.82</v>
      </c>
      <c r="K501" s="17">
        <v>84</v>
      </c>
      <c r="L501" s="17">
        <v>8.42</v>
      </c>
      <c r="M501" s="17">
        <v>192</v>
      </c>
    </row>
    <row r="502" s="17" customFormat="1" spans="1:13">
      <c r="A502" s="17" t="s">
        <v>245</v>
      </c>
      <c r="B502" s="17" t="s">
        <v>212</v>
      </c>
      <c r="C502" s="17" t="s">
        <v>213</v>
      </c>
      <c r="D502" s="17">
        <v>458.39</v>
      </c>
      <c r="E502" s="17">
        <v>5305</v>
      </c>
      <c r="F502" s="17">
        <v>139</v>
      </c>
      <c r="G502" s="17">
        <v>1</v>
      </c>
      <c r="H502" s="17">
        <v>458.39</v>
      </c>
      <c r="I502" s="17">
        <v>40</v>
      </c>
      <c r="J502" s="17">
        <v>11.46</v>
      </c>
      <c r="K502" s="17">
        <v>44</v>
      </c>
      <c r="L502" s="17">
        <v>10.42</v>
      </c>
      <c r="M502" s="17">
        <v>30</v>
      </c>
    </row>
    <row r="503" s="17" customFormat="1" spans="1:13">
      <c r="A503" s="17" t="s">
        <v>246</v>
      </c>
      <c r="B503" s="17" t="s">
        <v>212</v>
      </c>
      <c r="C503" s="17" t="s">
        <v>213</v>
      </c>
      <c r="D503" s="17">
        <v>417.28</v>
      </c>
      <c r="E503" s="17">
        <v>5305</v>
      </c>
      <c r="F503" s="17">
        <v>141</v>
      </c>
      <c r="G503" s="17">
        <v>2</v>
      </c>
      <c r="H503" s="17">
        <v>208.64</v>
      </c>
      <c r="I503" s="17">
        <v>47</v>
      </c>
      <c r="J503" s="17">
        <v>8.88</v>
      </c>
      <c r="K503" s="17">
        <v>50</v>
      </c>
      <c r="L503" s="17">
        <v>8.35</v>
      </c>
      <c r="M503" s="17">
        <v>51.9</v>
      </c>
    </row>
    <row r="504" s="17" customFormat="1" spans="1:13">
      <c r="A504" s="17" t="s">
        <v>247</v>
      </c>
      <c r="B504" s="17" t="s">
        <v>212</v>
      </c>
      <c r="C504" s="17" t="s">
        <v>213</v>
      </c>
      <c r="D504" s="17">
        <v>0.09</v>
      </c>
      <c r="E504" s="17">
        <v>608</v>
      </c>
      <c r="F504" s="17">
        <v>11</v>
      </c>
      <c r="G504" s="17">
        <v>2</v>
      </c>
      <c r="H504" s="17">
        <v>0.05</v>
      </c>
      <c r="I504" s="17">
        <v>4</v>
      </c>
      <c r="J504" s="17">
        <v>0.02</v>
      </c>
      <c r="K504" s="17">
        <v>5</v>
      </c>
      <c r="L504" s="17">
        <v>0.02</v>
      </c>
      <c r="M504" s="17">
        <v>84</v>
      </c>
    </row>
    <row r="505" s="17" customFormat="1" spans="1:13">
      <c r="A505" s="17" t="s">
        <v>248</v>
      </c>
      <c r="B505" s="17" t="s">
        <v>212</v>
      </c>
      <c r="C505" s="17" t="s">
        <v>213</v>
      </c>
      <c r="D505" s="17">
        <v>0</v>
      </c>
      <c r="E505" s="17">
        <v>293</v>
      </c>
      <c r="F505" s="17">
        <v>6</v>
      </c>
      <c r="G505" s="17">
        <v>1</v>
      </c>
      <c r="H505" s="17">
        <v>0</v>
      </c>
      <c r="I505" s="17">
        <v>2</v>
      </c>
      <c r="J505" s="17">
        <v>0</v>
      </c>
      <c r="K505" s="17">
        <v>2</v>
      </c>
      <c r="L505" s="17">
        <v>0</v>
      </c>
      <c r="M505" s="17">
        <v>6</v>
      </c>
    </row>
    <row r="506" s="17" customFormat="1" spans="1:13">
      <c r="A506" s="17" t="s">
        <v>249</v>
      </c>
      <c r="B506" s="17" t="s">
        <v>212</v>
      </c>
      <c r="C506" s="17" t="s">
        <v>213</v>
      </c>
      <c r="D506" s="17">
        <v>0</v>
      </c>
      <c r="E506" s="17">
        <v>207</v>
      </c>
      <c r="F506" s="17">
        <v>1</v>
      </c>
      <c r="G506" s="17">
        <v>0</v>
      </c>
      <c r="H506" s="17">
        <v>0</v>
      </c>
      <c r="I506" s="17">
        <v>2</v>
      </c>
      <c r="J506" s="17">
        <v>0</v>
      </c>
      <c r="K506" s="17">
        <v>2</v>
      </c>
      <c r="L506" s="17">
        <v>0</v>
      </c>
      <c r="M506" s="17">
        <v>0</v>
      </c>
    </row>
    <row r="507" s="17" customFormat="1" spans="1:13">
      <c r="A507" s="17" t="s">
        <v>250</v>
      </c>
      <c r="B507" s="17" t="s">
        <v>212</v>
      </c>
      <c r="C507" s="17" t="s">
        <v>213</v>
      </c>
      <c r="D507" s="17">
        <v>0</v>
      </c>
      <c r="E507" s="17">
        <v>132</v>
      </c>
      <c r="F507" s="17">
        <v>6</v>
      </c>
      <c r="G507" s="17">
        <v>0</v>
      </c>
      <c r="H507" s="17">
        <v>0</v>
      </c>
      <c r="I507" s="17">
        <v>1</v>
      </c>
      <c r="J507" s="17">
        <v>0</v>
      </c>
      <c r="K507" s="17">
        <v>1</v>
      </c>
      <c r="L507" s="17">
        <v>0</v>
      </c>
      <c r="M507" s="17">
        <v>0</v>
      </c>
    </row>
    <row r="508" s="17" customFormat="1" spans="1:13">
      <c r="A508" s="17" t="s">
        <v>251</v>
      </c>
      <c r="B508" s="17" t="s">
        <v>212</v>
      </c>
      <c r="C508" s="17" t="s">
        <v>213</v>
      </c>
      <c r="D508" s="17">
        <v>466.55</v>
      </c>
      <c r="E508" s="17">
        <v>4794</v>
      </c>
      <c r="F508" s="17">
        <v>102</v>
      </c>
      <c r="G508" s="17">
        <v>1</v>
      </c>
      <c r="H508" s="17">
        <v>466.55</v>
      </c>
      <c r="I508" s="17">
        <v>35</v>
      </c>
      <c r="J508" s="17">
        <v>13.33</v>
      </c>
      <c r="K508" s="17">
        <v>38</v>
      </c>
      <c r="L508" s="17">
        <v>12.28</v>
      </c>
      <c r="M508" s="17">
        <v>30</v>
      </c>
    </row>
    <row r="509" s="17" customFormat="1" spans="1:13">
      <c r="A509" s="17" t="s">
        <v>252</v>
      </c>
      <c r="B509" s="17" t="s">
        <v>212</v>
      </c>
      <c r="C509" s="17" t="s">
        <v>213</v>
      </c>
      <c r="D509" s="17">
        <v>984.31</v>
      </c>
      <c r="E509" s="17">
        <v>10567</v>
      </c>
      <c r="F509" s="17">
        <v>248</v>
      </c>
      <c r="G509" s="17">
        <v>4</v>
      </c>
      <c r="H509" s="17">
        <v>246.08</v>
      </c>
      <c r="I509" s="17">
        <v>97</v>
      </c>
      <c r="J509" s="17">
        <v>10.15</v>
      </c>
      <c r="K509" s="17">
        <v>108</v>
      </c>
      <c r="L509" s="17">
        <v>9.11</v>
      </c>
      <c r="M509" s="17">
        <v>177.7</v>
      </c>
    </row>
    <row r="510" s="17" customFormat="1" spans="1:13">
      <c r="A510" s="17" t="s">
        <v>253</v>
      </c>
      <c r="B510" s="17" t="s">
        <v>212</v>
      </c>
      <c r="C510" s="17" t="s">
        <v>213</v>
      </c>
      <c r="D510" s="17">
        <v>694.47</v>
      </c>
      <c r="E510" s="17">
        <v>7398</v>
      </c>
      <c r="F510" s="17">
        <v>176</v>
      </c>
      <c r="G510" s="17">
        <v>0</v>
      </c>
      <c r="H510" s="17">
        <v>0</v>
      </c>
      <c r="I510" s="17">
        <v>62</v>
      </c>
      <c r="J510" s="17">
        <v>11.2</v>
      </c>
      <c r="K510" s="17">
        <v>66</v>
      </c>
      <c r="L510" s="17">
        <v>10.52</v>
      </c>
      <c r="M510" s="17">
        <v>0</v>
      </c>
    </row>
    <row r="511" s="17" customFormat="1" spans="1:13">
      <c r="A511" s="17" t="s">
        <v>254</v>
      </c>
      <c r="B511" s="17" t="s">
        <v>212</v>
      </c>
      <c r="C511" s="17" t="s">
        <v>213</v>
      </c>
      <c r="D511" s="17">
        <v>517.96</v>
      </c>
      <c r="E511" s="17">
        <v>5295</v>
      </c>
      <c r="F511" s="17">
        <v>136</v>
      </c>
      <c r="G511" s="17">
        <v>2</v>
      </c>
      <c r="H511" s="17">
        <v>258.98</v>
      </c>
      <c r="I511" s="17">
        <v>66</v>
      </c>
      <c r="J511" s="17">
        <v>7.85</v>
      </c>
      <c r="K511" s="17">
        <v>66</v>
      </c>
      <c r="L511" s="17">
        <v>7.85</v>
      </c>
      <c r="M511" s="17">
        <v>60</v>
      </c>
    </row>
    <row r="512" s="17" customFormat="1" spans="1:13">
      <c r="A512" s="17" t="s">
        <v>255</v>
      </c>
      <c r="B512" s="17" t="s">
        <v>212</v>
      </c>
      <c r="C512" s="17" t="s">
        <v>213</v>
      </c>
      <c r="D512" s="17">
        <v>236.44</v>
      </c>
      <c r="E512" s="17">
        <v>2387</v>
      </c>
      <c r="F512" s="17">
        <v>63</v>
      </c>
      <c r="G512" s="17">
        <v>3</v>
      </c>
      <c r="H512" s="17">
        <v>78.81</v>
      </c>
      <c r="I512" s="17">
        <v>31</v>
      </c>
      <c r="J512" s="17">
        <v>7.63</v>
      </c>
      <c r="K512" s="17">
        <v>33</v>
      </c>
      <c r="L512" s="17">
        <v>7.16</v>
      </c>
      <c r="M512" s="17">
        <v>448</v>
      </c>
    </row>
    <row r="513" s="17" customFormat="1" spans="1:13">
      <c r="A513" s="17" t="s">
        <v>256</v>
      </c>
      <c r="B513" s="17" t="s">
        <v>212</v>
      </c>
      <c r="C513" s="17" t="s">
        <v>213</v>
      </c>
      <c r="D513" s="17">
        <v>196.1</v>
      </c>
      <c r="E513" s="17">
        <v>2393</v>
      </c>
      <c r="F513" s="17">
        <v>45</v>
      </c>
      <c r="G513" s="17">
        <v>0</v>
      </c>
      <c r="H513" s="17">
        <v>0</v>
      </c>
      <c r="I513" s="17">
        <v>13</v>
      </c>
      <c r="J513" s="17">
        <v>15.08</v>
      </c>
      <c r="K513" s="17">
        <v>16</v>
      </c>
      <c r="L513" s="17">
        <v>12.26</v>
      </c>
      <c r="M513" s="17">
        <v>0</v>
      </c>
    </row>
    <row r="514" s="17" customFormat="1" spans="1:13">
      <c r="A514" s="17" t="s">
        <v>257</v>
      </c>
      <c r="B514" s="17" t="s">
        <v>212</v>
      </c>
      <c r="C514" s="17" t="s">
        <v>213</v>
      </c>
      <c r="D514" s="17">
        <v>160.26</v>
      </c>
      <c r="E514" s="17">
        <v>1882</v>
      </c>
      <c r="F514" s="17">
        <v>38</v>
      </c>
      <c r="G514" s="17">
        <v>1</v>
      </c>
      <c r="H514" s="17">
        <v>160.26</v>
      </c>
      <c r="I514" s="17">
        <v>23</v>
      </c>
      <c r="J514" s="17">
        <v>6.97</v>
      </c>
      <c r="K514" s="17">
        <v>22</v>
      </c>
      <c r="L514" s="17">
        <v>7.28</v>
      </c>
      <c r="M514" s="17">
        <v>6</v>
      </c>
    </row>
    <row r="515" s="17" customFormat="1" spans="1:13">
      <c r="A515" s="17" t="s">
        <v>258</v>
      </c>
      <c r="B515" s="17" t="s">
        <v>212</v>
      </c>
      <c r="C515" s="17" t="s">
        <v>213</v>
      </c>
      <c r="D515" s="17">
        <v>154.19</v>
      </c>
      <c r="E515" s="17">
        <v>1780</v>
      </c>
      <c r="F515" s="17">
        <v>50</v>
      </c>
      <c r="G515" s="17">
        <v>0</v>
      </c>
      <c r="H515" s="17">
        <v>0</v>
      </c>
      <c r="I515" s="17">
        <v>21</v>
      </c>
      <c r="J515" s="17">
        <v>7.34</v>
      </c>
      <c r="K515" s="17">
        <v>25</v>
      </c>
      <c r="L515" s="17">
        <v>6.17</v>
      </c>
      <c r="M515" s="17">
        <v>6</v>
      </c>
    </row>
    <row r="516" s="17" customFormat="1" spans="1:13">
      <c r="A516" s="17" t="s">
        <v>259</v>
      </c>
      <c r="B516" s="17" t="s">
        <v>212</v>
      </c>
      <c r="C516" s="17" t="s">
        <v>213</v>
      </c>
      <c r="D516" s="17">
        <v>335.06</v>
      </c>
      <c r="E516" s="17">
        <v>3804</v>
      </c>
      <c r="F516" s="17">
        <v>107</v>
      </c>
      <c r="G516" s="17">
        <v>0</v>
      </c>
      <c r="H516" s="17">
        <v>0</v>
      </c>
      <c r="I516" s="17">
        <v>38</v>
      </c>
      <c r="J516" s="17">
        <v>8.82</v>
      </c>
      <c r="K516" s="17">
        <v>42</v>
      </c>
      <c r="L516" s="17">
        <v>7.98</v>
      </c>
      <c r="M516" s="17">
        <v>0</v>
      </c>
    </row>
    <row r="517" s="17" customFormat="1" spans="1:13">
      <c r="A517" s="17" t="s">
        <v>260</v>
      </c>
      <c r="B517" s="17" t="s">
        <v>212</v>
      </c>
      <c r="C517" s="17" t="s">
        <v>213</v>
      </c>
      <c r="D517" s="17">
        <v>314.69</v>
      </c>
      <c r="E517" s="17">
        <v>3777</v>
      </c>
      <c r="F517" s="17">
        <v>97</v>
      </c>
      <c r="G517" s="17">
        <v>1</v>
      </c>
      <c r="H517" s="17">
        <v>314.69</v>
      </c>
      <c r="I517" s="17">
        <v>41</v>
      </c>
      <c r="J517" s="17">
        <v>7.68</v>
      </c>
      <c r="K517" s="17">
        <v>45</v>
      </c>
      <c r="L517" s="17">
        <v>6.99</v>
      </c>
      <c r="M517" s="17">
        <v>6</v>
      </c>
    </row>
    <row r="518" s="17" customFormat="1" spans="1:13">
      <c r="A518" s="17" t="s">
        <v>261</v>
      </c>
      <c r="B518" s="17" t="s">
        <v>212</v>
      </c>
      <c r="C518" s="17" t="s">
        <v>213</v>
      </c>
      <c r="D518" s="17">
        <v>239.36</v>
      </c>
      <c r="E518" s="17">
        <v>2450</v>
      </c>
      <c r="F518" s="17">
        <v>67</v>
      </c>
      <c r="G518" s="17">
        <v>0</v>
      </c>
      <c r="H518" s="17">
        <v>0</v>
      </c>
      <c r="I518" s="17">
        <v>22</v>
      </c>
      <c r="J518" s="17">
        <v>10.88</v>
      </c>
      <c r="K518" s="17">
        <v>28</v>
      </c>
      <c r="L518" s="17">
        <v>8.55</v>
      </c>
      <c r="M518" s="17">
        <v>0</v>
      </c>
    </row>
    <row r="519" s="17" customFormat="1" spans="1:13">
      <c r="A519" s="17" t="s">
        <v>262</v>
      </c>
      <c r="B519" s="17" t="s">
        <v>212</v>
      </c>
      <c r="C519" s="17" t="s">
        <v>213</v>
      </c>
      <c r="D519" s="17">
        <v>101.92</v>
      </c>
      <c r="E519" s="17">
        <v>1511</v>
      </c>
      <c r="F519" s="17">
        <v>39</v>
      </c>
      <c r="G519" s="17">
        <v>2</v>
      </c>
      <c r="H519" s="17">
        <v>50.96</v>
      </c>
      <c r="I519" s="17">
        <v>12</v>
      </c>
      <c r="J519" s="17">
        <v>8.49</v>
      </c>
      <c r="K519" s="17">
        <v>15</v>
      </c>
      <c r="L519" s="17">
        <v>6.79</v>
      </c>
      <c r="M519" s="17">
        <v>18</v>
      </c>
    </row>
    <row r="520" s="17" customFormat="1" spans="1:13">
      <c r="A520" s="17" t="s">
        <v>263</v>
      </c>
      <c r="B520" s="17" t="s">
        <v>212</v>
      </c>
      <c r="C520" s="17" t="s">
        <v>213</v>
      </c>
      <c r="D520" s="17">
        <v>48.02</v>
      </c>
      <c r="E520" s="17">
        <v>540</v>
      </c>
      <c r="F520" s="17">
        <v>12</v>
      </c>
      <c r="G520" s="17">
        <v>0</v>
      </c>
      <c r="H520" s="17">
        <v>0</v>
      </c>
      <c r="I520" s="17">
        <v>7</v>
      </c>
      <c r="J520" s="17">
        <v>6.86</v>
      </c>
      <c r="K520" s="17">
        <v>5</v>
      </c>
      <c r="L520" s="17">
        <v>9.6</v>
      </c>
      <c r="M520" s="17">
        <v>0</v>
      </c>
    </row>
    <row r="521" s="17" customFormat="1" spans="1:13">
      <c r="A521" s="17" t="s">
        <v>264</v>
      </c>
      <c r="B521" s="17" t="s">
        <v>212</v>
      </c>
      <c r="C521" s="17" t="s">
        <v>213</v>
      </c>
      <c r="D521" s="17">
        <v>62.51</v>
      </c>
      <c r="E521" s="17">
        <v>727</v>
      </c>
      <c r="F521" s="17">
        <v>18</v>
      </c>
      <c r="G521" s="17">
        <v>1</v>
      </c>
      <c r="H521" s="17">
        <v>62.51</v>
      </c>
      <c r="I521" s="17">
        <v>5</v>
      </c>
      <c r="J521" s="17">
        <v>12.5</v>
      </c>
      <c r="K521" s="17">
        <v>7</v>
      </c>
      <c r="L521" s="17">
        <v>8.93</v>
      </c>
      <c r="M521" s="17">
        <v>9.9</v>
      </c>
    </row>
    <row r="522" s="17" customFormat="1" spans="1:13">
      <c r="A522" s="17" t="s">
        <v>265</v>
      </c>
      <c r="B522" s="17" t="s">
        <v>212</v>
      </c>
      <c r="C522" s="17" t="s">
        <v>213</v>
      </c>
      <c r="D522" s="17">
        <v>84.95</v>
      </c>
      <c r="E522" s="17">
        <v>813</v>
      </c>
      <c r="F522" s="17">
        <v>26</v>
      </c>
      <c r="G522" s="17">
        <v>0</v>
      </c>
      <c r="H522" s="17">
        <v>0</v>
      </c>
      <c r="I522" s="17">
        <v>10</v>
      </c>
      <c r="J522" s="17">
        <v>8.5</v>
      </c>
      <c r="K522" s="17">
        <v>10</v>
      </c>
      <c r="L522" s="17">
        <v>8.5</v>
      </c>
      <c r="M522" s="17">
        <v>42</v>
      </c>
    </row>
    <row r="523" s="17" customFormat="1" spans="1:13">
      <c r="A523" s="17" t="s">
        <v>266</v>
      </c>
      <c r="B523" s="17" t="s">
        <v>212</v>
      </c>
      <c r="C523" s="17" t="s">
        <v>213</v>
      </c>
      <c r="D523" s="17">
        <v>67.17</v>
      </c>
      <c r="E523" s="17">
        <v>839</v>
      </c>
      <c r="F523" s="17">
        <v>18</v>
      </c>
      <c r="G523" s="17">
        <v>0</v>
      </c>
      <c r="H523" s="17">
        <v>0</v>
      </c>
      <c r="I523" s="17">
        <v>4</v>
      </c>
      <c r="J523" s="17">
        <v>16.79</v>
      </c>
      <c r="K523" s="17">
        <v>5</v>
      </c>
      <c r="L523" s="17">
        <v>13.43</v>
      </c>
      <c r="M523" s="17">
        <v>0</v>
      </c>
    </row>
    <row r="524" s="17" customFormat="1" spans="1:13">
      <c r="A524" s="17" t="s">
        <v>267</v>
      </c>
      <c r="B524" s="17" t="s">
        <v>212</v>
      </c>
      <c r="C524" s="17" t="s">
        <v>213</v>
      </c>
      <c r="D524" s="17">
        <v>85.25</v>
      </c>
      <c r="E524" s="17">
        <v>921</v>
      </c>
      <c r="F524" s="17">
        <v>22</v>
      </c>
      <c r="G524" s="17">
        <v>0</v>
      </c>
      <c r="H524" s="17">
        <v>0</v>
      </c>
      <c r="I524" s="17">
        <v>9</v>
      </c>
      <c r="J524" s="17">
        <v>9.47</v>
      </c>
      <c r="K524" s="17">
        <v>12</v>
      </c>
      <c r="L524" s="17">
        <v>7.1</v>
      </c>
      <c r="M524" s="17">
        <v>0</v>
      </c>
    </row>
    <row r="525" s="17" customFormat="1" spans="1:13">
      <c r="A525" s="17" t="s">
        <v>268</v>
      </c>
      <c r="B525" s="17" t="s">
        <v>212</v>
      </c>
      <c r="C525" s="17" t="s">
        <v>213</v>
      </c>
      <c r="D525" s="17">
        <v>61.54</v>
      </c>
      <c r="E525" s="17">
        <v>771</v>
      </c>
      <c r="F525" s="17">
        <v>13</v>
      </c>
      <c r="G525" s="17">
        <v>0</v>
      </c>
      <c r="H525" s="17">
        <v>0</v>
      </c>
      <c r="I525" s="17">
        <v>2</v>
      </c>
      <c r="J525" s="17">
        <v>30.77</v>
      </c>
      <c r="K525" s="17">
        <v>2</v>
      </c>
      <c r="L525" s="17">
        <v>30.77</v>
      </c>
      <c r="M525" s="17">
        <v>0</v>
      </c>
    </row>
    <row r="526" s="17" customFormat="1" spans="1:13">
      <c r="A526" s="17" t="s">
        <v>269</v>
      </c>
      <c r="B526" s="17" t="s">
        <v>212</v>
      </c>
      <c r="C526" s="17" t="s">
        <v>213</v>
      </c>
      <c r="D526" s="17">
        <v>49.16</v>
      </c>
      <c r="E526" s="17">
        <v>565</v>
      </c>
      <c r="F526" s="17">
        <v>15</v>
      </c>
      <c r="G526" s="17">
        <v>0</v>
      </c>
      <c r="H526" s="17">
        <v>0</v>
      </c>
      <c r="I526" s="17">
        <v>6</v>
      </c>
      <c r="J526" s="17">
        <v>8.19</v>
      </c>
      <c r="K526" s="17">
        <v>7</v>
      </c>
      <c r="L526" s="17">
        <v>7.02</v>
      </c>
      <c r="M526" s="17">
        <v>0</v>
      </c>
    </row>
    <row r="527" s="17" customFormat="1" spans="1:13">
      <c r="A527" s="17" t="s">
        <v>270</v>
      </c>
      <c r="B527" s="17" t="s">
        <v>212</v>
      </c>
      <c r="C527" s="17" t="s">
        <v>213</v>
      </c>
      <c r="D527" s="17">
        <v>24.62</v>
      </c>
      <c r="E527" s="17">
        <v>332</v>
      </c>
      <c r="F527" s="17">
        <v>6</v>
      </c>
      <c r="G527" s="17">
        <v>0</v>
      </c>
      <c r="H527" s="17">
        <v>0</v>
      </c>
      <c r="I527" s="17">
        <v>2</v>
      </c>
      <c r="J527" s="17">
        <v>12.31</v>
      </c>
      <c r="K527" s="17">
        <v>3</v>
      </c>
      <c r="L527" s="17">
        <v>8.21</v>
      </c>
      <c r="M527" s="17">
        <v>0</v>
      </c>
    </row>
    <row r="528" s="17" customFormat="1" spans="1:13">
      <c r="A528" s="17" t="s">
        <v>271</v>
      </c>
      <c r="B528" s="17" t="s">
        <v>212</v>
      </c>
      <c r="C528" s="17" t="s">
        <v>213</v>
      </c>
      <c r="D528" s="17">
        <v>36.65</v>
      </c>
      <c r="E528" s="17">
        <v>395</v>
      </c>
      <c r="F528" s="17">
        <v>13</v>
      </c>
      <c r="G528" s="17">
        <v>0</v>
      </c>
      <c r="H528" s="17">
        <v>0</v>
      </c>
      <c r="I528" s="17">
        <v>3</v>
      </c>
      <c r="J528" s="17">
        <v>12.22</v>
      </c>
      <c r="K528" s="17">
        <v>3</v>
      </c>
      <c r="L528" s="17">
        <v>12.22</v>
      </c>
      <c r="M528" s="17">
        <v>0</v>
      </c>
    </row>
    <row r="529" s="17" customFormat="1" spans="1:13">
      <c r="A529" s="17" t="s">
        <v>272</v>
      </c>
      <c r="B529" s="17" t="s">
        <v>212</v>
      </c>
      <c r="C529" s="17" t="s">
        <v>213</v>
      </c>
      <c r="D529" s="17">
        <v>39.29</v>
      </c>
      <c r="E529" s="17">
        <v>414</v>
      </c>
      <c r="F529" s="17">
        <v>16</v>
      </c>
      <c r="G529" s="17">
        <v>1</v>
      </c>
      <c r="H529" s="17">
        <v>39.29</v>
      </c>
      <c r="I529" s="17">
        <v>5</v>
      </c>
      <c r="J529" s="17">
        <v>7.86</v>
      </c>
      <c r="K529" s="17">
        <v>5</v>
      </c>
      <c r="L529" s="17">
        <v>7.86</v>
      </c>
      <c r="M529" s="17">
        <v>96</v>
      </c>
    </row>
    <row r="530" s="17" customFormat="1" spans="1:13">
      <c r="A530" s="17" t="s">
        <v>273</v>
      </c>
      <c r="B530" s="17" t="s">
        <v>212</v>
      </c>
      <c r="C530" s="17" t="s">
        <v>213</v>
      </c>
      <c r="D530" s="17">
        <v>54.63</v>
      </c>
      <c r="E530" s="17">
        <v>518</v>
      </c>
      <c r="F530" s="17">
        <v>19</v>
      </c>
      <c r="G530" s="17">
        <v>0</v>
      </c>
      <c r="H530" s="17">
        <v>0</v>
      </c>
      <c r="I530" s="17">
        <v>6</v>
      </c>
      <c r="J530" s="17">
        <v>9.11</v>
      </c>
      <c r="K530" s="17">
        <v>6</v>
      </c>
      <c r="L530" s="17">
        <v>9.11</v>
      </c>
      <c r="M530" s="17">
        <v>0</v>
      </c>
    </row>
    <row r="531" s="17" customFormat="1" spans="1:13">
      <c r="A531" s="17" t="s">
        <v>274</v>
      </c>
      <c r="B531" s="17" t="s">
        <v>212</v>
      </c>
      <c r="C531" s="17" t="s">
        <v>213</v>
      </c>
      <c r="D531" s="17">
        <v>91.05</v>
      </c>
      <c r="E531" s="17">
        <v>852</v>
      </c>
      <c r="F531" s="17">
        <v>32</v>
      </c>
      <c r="G531" s="17">
        <v>1</v>
      </c>
      <c r="H531" s="17">
        <v>91.05</v>
      </c>
      <c r="I531" s="17">
        <v>18</v>
      </c>
      <c r="J531" s="17">
        <v>5.06</v>
      </c>
      <c r="K531" s="17">
        <v>19</v>
      </c>
      <c r="L531" s="17">
        <v>4.79</v>
      </c>
      <c r="M531" s="17">
        <v>6</v>
      </c>
    </row>
    <row r="532" s="17" customFormat="1" spans="1:13">
      <c r="A532" s="17" t="s">
        <v>275</v>
      </c>
      <c r="B532" s="17" t="s">
        <v>212</v>
      </c>
      <c r="C532" s="17" t="s">
        <v>213</v>
      </c>
      <c r="D532" s="17">
        <v>158.93</v>
      </c>
      <c r="E532" s="17">
        <v>1501</v>
      </c>
      <c r="F532" s="17">
        <v>40</v>
      </c>
      <c r="G532" s="17">
        <v>0</v>
      </c>
      <c r="H532" s="17">
        <v>0</v>
      </c>
      <c r="I532" s="17">
        <v>17</v>
      </c>
      <c r="J532" s="17">
        <v>9.35</v>
      </c>
      <c r="K532" s="17">
        <v>20</v>
      </c>
      <c r="L532" s="17">
        <v>7.95</v>
      </c>
      <c r="M532" s="17">
        <v>0</v>
      </c>
    </row>
    <row r="533" s="17" customFormat="1" spans="1:13">
      <c r="A533" s="17" t="s">
        <v>276</v>
      </c>
      <c r="B533" s="17" t="s">
        <v>212</v>
      </c>
      <c r="C533" s="17" t="s">
        <v>213</v>
      </c>
      <c r="D533" s="17">
        <v>217.34</v>
      </c>
      <c r="E533" s="17">
        <v>2202</v>
      </c>
      <c r="F533" s="17">
        <v>45</v>
      </c>
      <c r="G533" s="17">
        <v>1</v>
      </c>
      <c r="H533" s="17">
        <v>217.34</v>
      </c>
      <c r="I533" s="17">
        <v>12</v>
      </c>
      <c r="J533" s="17">
        <v>18.11</v>
      </c>
      <c r="K533" s="17">
        <v>15</v>
      </c>
      <c r="L533" s="17">
        <v>14.49</v>
      </c>
      <c r="M533" s="17">
        <v>59.9</v>
      </c>
    </row>
    <row r="534" s="17" customFormat="1" spans="1:13">
      <c r="A534" s="17" t="s">
        <v>277</v>
      </c>
      <c r="B534" s="17" t="s">
        <v>212</v>
      </c>
      <c r="C534" s="17" t="s">
        <v>213</v>
      </c>
      <c r="D534" s="17">
        <v>177.44</v>
      </c>
      <c r="E534" s="17">
        <v>1925</v>
      </c>
      <c r="F534" s="17">
        <v>49</v>
      </c>
      <c r="G534" s="17">
        <v>1</v>
      </c>
      <c r="H534" s="17">
        <v>177.44</v>
      </c>
      <c r="I534" s="17">
        <v>25</v>
      </c>
      <c r="J534" s="17">
        <v>7.1</v>
      </c>
      <c r="K534" s="17">
        <v>24</v>
      </c>
      <c r="L534" s="17">
        <v>7.39</v>
      </c>
      <c r="M534" s="17">
        <v>12</v>
      </c>
    </row>
    <row r="535" s="17" customFormat="1" spans="1:13">
      <c r="A535" s="17" t="s">
        <v>278</v>
      </c>
      <c r="B535" s="17" t="s">
        <v>212</v>
      </c>
      <c r="C535" s="17" t="s">
        <v>213</v>
      </c>
      <c r="D535" s="17">
        <v>190.04</v>
      </c>
      <c r="E535" s="17">
        <v>1989</v>
      </c>
      <c r="F535" s="17">
        <v>50</v>
      </c>
      <c r="G535" s="17">
        <v>1</v>
      </c>
      <c r="H535" s="17">
        <v>190.04</v>
      </c>
      <c r="I535" s="17">
        <v>13</v>
      </c>
      <c r="J535" s="17">
        <v>14.62</v>
      </c>
      <c r="K535" s="17">
        <v>16</v>
      </c>
      <c r="L535" s="17">
        <v>11.88</v>
      </c>
      <c r="M535" s="17">
        <v>12</v>
      </c>
    </row>
    <row r="536" s="17" customFormat="1" spans="1:13">
      <c r="A536" s="17" t="s">
        <v>279</v>
      </c>
      <c r="B536" s="17" t="s">
        <v>212</v>
      </c>
      <c r="C536" s="17" t="s">
        <v>213</v>
      </c>
      <c r="D536" s="17">
        <v>154.16</v>
      </c>
      <c r="E536" s="17">
        <v>1715</v>
      </c>
      <c r="F536" s="17">
        <v>41</v>
      </c>
      <c r="G536" s="17">
        <v>0</v>
      </c>
      <c r="H536" s="17">
        <v>0</v>
      </c>
      <c r="I536" s="17">
        <v>13</v>
      </c>
      <c r="J536" s="17">
        <v>11.86</v>
      </c>
      <c r="K536" s="17">
        <v>15</v>
      </c>
      <c r="L536" s="17">
        <v>10.28</v>
      </c>
      <c r="M536" s="17">
        <v>0</v>
      </c>
    </row>
    <row r="537" s="17" customFormat="1" spans="1:13">
      <c r="A537" s="17" t="s">
        <v>280</v>
      </c>
      <c r="B537" s="17" t="s">
        <v>212</v>
      </c>
      <c r="C537" s="17" t="s">
        <v>213</v>
      </c>
      <c r="D537" s="17">
        <v>178.95</v>
      </c>
      <c r="E537" s="17">
        <v>1961</v>
      </c>
      <c r="F537" s="17">
        <v>38</v>
      </c>
      <c r="G537" s="17">
        <v>1</v>
      </c>
      <c r="H537" s="17">
        <v>178.95</v>
      </c>
      <c r="I537" s="17">
        <v>19</v>
      </c>
      <c r="J537" s="17">
        <v>9.42</v>
      </c>
      <c r="K537" s="17">
        <v>19</v>
      </c>
      <c r="L537" s="17">
        <v>9.42</v>
      </c>
      <c r="M537" s="17">
        <v>30</v>
      </c>
    </row>
    <row r="538" s="17" customFormat="1" spans="1:13">
      <c r="A538" s="17" t="s">
        <v>281</v>
      </c>
      <c r="B538" s="17" t="s">
        <v>212</v>
      </c>
      <c r="C538" s="17" t="s">
        <v>213</v>
      </c>
      <c r="D538" s="17">
        <v>183.07</v>
      </c>
      <c r="E538" s="17">
        <v>2216</v>
      </c>
      <c r="F538" s="17">
        <v>51</v>
      </c>
      <c r="G538" s="17">
        <v>0</v>
      </c>
      <c r="H538" s="17">
        <v>0</v>
      </c>
      <c r="I538" s="17">
        <v>16</v>
      </c>
      <c r="J538" s="17">
        <v>11.44</v>
      </c>
      <c r="K538" s="17">
        <v>18</v>
      </c>
      <c r="L538" s="17">
        <v>10.17</v>
      </c>
      <c r="M538" s="17">
        <v>0</v>
      </c>
    </row>
    <row r="539" s="17" customFormat="1" spans="1:13">
      <c r="A539" s="17" t="s">
        <v>282</v>
      </c>
      <c r="B539" s="17" t="s">
        <v>212</v>
      </c>
      <c r="C539" s="17" t="s">
        <v>213</v>
      </c>
      <c r="D539" s="17">
        <v>138.77</v>
      </c>
      <c r="E539" s="17">
        <v>1694</v>
      </c>
      <c r="F539" s="17">
        <v>30</v>
      </c>
      <c r="G539" s="17">
        <v>0</v>
      </c>
      <c r="H539" s="17">
        <v>0</v>
      </c>
      <c r="I539" s="17">
        <v>11</v>
      </c>
      <c r="J539" s="17">
        <v>12.62</v>
      </c>
      <c r="K539" s="17">
        <v>13</v>
      </c>
      <c r="L539" s="17">
        <v>10.67</v>
      </c>
      <c r="M539" s="17">
        <v>0</v>
      </c>
    </row>
    <row r="540" s="17" customFormat="1" spans="1:13">
      <c r="A540" s="17" t="s">
        <v>283</v>
      </c>
      <c r="B540" s="17" t="s">
        <v>212</v>
      </c>
      <c r="C540" s="17" t="s">
        <v>213</v>
      </c>
      <c r="D540" s="17">
        <v>81.98</v>
      </c>
      <c r="E540" s="17">
        <v>1101</v>
      </c>
      <c r="F540" s="17">
        <v>27</v>
      </c>
      <c r="G540" s="17">
        <v>1</v>
      </c>
      <c r="H540" s="17">
        <v>81.98</v>
      </c>
      <c r="I540" s="17">
        <v>7</v>
      </c>
      <c r="J540" s="17">
        <v>11.71</v>
      </c>
      <c r="K540" s="17">
        <v>9</v>
      </c>
      <c r="L540" s="17">
        <v>9.11</v>
      </c>
      <c r="M540" s="17">
        <v>12</v>
      </c>
    </row>
    <row r="541" s="17" customFormat="1" spans="1:13">
      <c r="A541" s="17" t="s">
        <v>284</v>
      </c>
      <c r="B541" s="17" t="s">
        <v>212</v>
      </c>
      <c r="C541" s="17" t="s">
        <v>213</v>
      </c>
      <c r="D541" s="17">
        <v>137.56</v>
      </c>
      <c r="E541" s="17">
        <v>1374</v>
      </c>
      <c r="F541" s="17">
        <v>34</v>
      </c>
      <c r="G541" s="17">
        <v>0</v>
      </c>
      <c r="H541" s="17">
        <v>0</v>
      </c>
      <c r="I541" s="17">
        <v>11</v>
      </c>
      <c r="J541" s="17">
        <v>12.51</v>
      </c>
      <c r="K541" s="17">
        <v>12</v>
      </c>
      <c r="L541" s="17">
        <v>11.46</v>
      </c>
      <c r="M541" s="17">
        <v>0</v>
      </c>
    </row>
    <row r="542" s="17" customFormat="1" spans="1:13">
      <c r="A542" s="17" t="s">
        <v>285</v>
      </c>
      <c r="B542" s="17" t="s">
        <v>212</v>
      </c>
      <c r="C542" s="17" t="s">
        <v>213</v>
      </c>
      <c r="D542" s="17">
        <v>90.26</v>
      </c>
      <c r="E542" s="17">
        <v>1088</v>
      </c>
      <c r="F542" s="17">
        <v>21</v>
      </c>
      <c r="G542" s="17">
        <v>0</v>
      </c>
      <c r="H542" s="17">
        <v>0</v>
      </c>
      <c r="I542" s="17">
        <v>9</v>
      </c>
      <c r="J542" s="17">
        <v>10.03</v>
      </c>
      <c r="K542" s="17">
        <v>10</v>
      </c>
      <c r="L542" s="17">
        <v>9.03</v>
      </c>
      <c r="M542" s="17">
        <v>0</v>
      </c>
    </row>
    <row r="543" s="17" customFormat="1" spans="1:13">
      <c r="A543" s="17" t="s">
        <v>286</v>
      </c>
      <c r="B543" s="17" t="s">
        <v>212</v>
      </c>
      <c r="C543" s="17" t="s">
        <v>213</v>
      </c>
      <c r="D543" s="17">
        <v>68.18</v>
      </c>
      <c r="E543" s="17">
        <v>902</v>
      </c>
      <c r="F543" s="17">
        <v>17</v>
      </c>
      <c r="G543" s="17">
        <v>0</v>
      </c>
      <c r="H543" s="17">
        <v>0</v>
      </c>
      <c r="I543" s="17">
        <v>6</v>
      </c>
      <c r="J543" s="17">
        <v>11.36</v>
      </c>
      <c r="K543" s="17">
        <v>6</v>
      </c>
      <c r="L543" s="17">
        <v>11.36</v>
      </c>
      <c r="M543" s="17">
        <v>0</v>
      </c>
    </row>
    <row r="544" s="17" customFormat="1" spans="1:13">
      <c r="A544" s="17" t="s">
        <v>287</v>
      </c>
      <c r="B544" s="17" t="s">
        <v>212</v>
      </c>
      <c r="C544" s="17" t="s">
        <v>213</v>
      </c>
      <c r="D544" s="17">
        <v>97.23</v>
      </c>
      <c r="E544" s="17">
        <v>1096</v>
      </c>
      <c r="F544" s="17">
        <v>22</v>
      </c>
      <c r="G544" s="17">
        <v>0</v>
      </c>
      <c r="H544" s="17">
        <v>0</v>
      </c>
      <c r="I544" s="17">
        <v>8</v>
      </c>
      <c r="J544" s="17">
        <v>12.15</v>
      </c>
      <c r="K544" s="17">
        <v>9</v>
      </c>
      <c r="L544" s="17">
        <v>10.8</v>
      </c>
      <c r="M544" s="17">
        <v>0</v>
      </c>
    </row>
    <row r="545" s="17" customFormat="1" spans="1:13">
      <c r="A545" s="17" t="s">
        <v>288</v>
      </c>
      <c r="B545" s="17" t="s">
        <v>212</v>
      </c>
      <c r="C545" s="17" t="s">
        <v>213</v>
      </c>
      <c r="D545" s="17">
        <v>136.63</v>
      </c>
      <c r="E545" s="17">
        <v>1146</v>
      </c>
      <c r="F545" s="17">
        <v>30</v>
      </c>
      <c r="G545" s="17">
        <v>0</v>
      </c>
      <c r="H545" s="17">
        <v>0</v>
      </c>
      <c r="I545" s="17">
        <v>11</v>
      </c>
      <c r="J545" s="17">
        <v>12.42</v>
      </c>
      <c r="K545" s="17">
        <v>12</v>
      </c>
      <c r="L545" s="17">
        <v>11.39</v>
      </c>
      <c r="M545" s="17">
        <v>0</v>
      </c>
    </row>
    <row r="546" s="17" customFormat="1" spans="1:13">
      <c r="A546" s="17" t="s">
        <v>289</v>
      </c>
      <c r="B546" s="17" t="s">
        <v>212</v>
      </c>
      <c r="C546" s="17" t="s">
        <v>213</v>
      </c>
      <c r="D546" s="17">
        <v>77.39</v>
      </c>
      <c r="E546" s="17">
        <v>763</v>
      </c>
      <c r="F546" s="17">
        <v>17</v>
      </c>
      <c r="G546" s="17">
        <v>0</v>
      </c>
      <c r="H546" s="17">
        <v>0</v>
      </c>
      <c r="I546" s="17">
        <v>3</v>
      </c>
      <c r="J546" s="17">
        <v>25.8</v>
      </c>
      <c r="K546" s="17">
        <v>4</v>
      </c>
      <c r="L546" s="17">
        <v>19.35</v>
      </c>
      <c r="M546" s="17">
        <v>0</v>
      </c>
    </row>
    <row r="547" s="17" customFormat="1" spans="1:13">
      <c r="A547" s="17" t="s">
        <v>290</v>
      </c>
      <c r="B547" s="17" t="s">
        <v>212</v>
      </c>
      <c r="C547" s="17" t="s">
        <v>213</v>
      </c>
      <c r="D547" s="17">
        <v>61.29</v>
      </c>
      <c r="E547" s="17">
        <v>655</v>
      </c>
      <c r="F547" s="17">
        <v>21</v>
      </c>
      <c r="G547" s="17">
        <v>0</v>
      </c>
      <c r="H547" s="17">
        <v>0</v>
      </c>
      <c r="I547" s="17">
        <v>5</v>
      </c>
      <c r="J547" s="17">
        <v>12.26</v>
      </c>
      <c r="K547" s="17">
        <v>6</v>
      </c>
      <c r="L547" s="17">
        <v>10.22</v>
      </c>
      <c r="M547" s="17">
        <v>0</v>
      </c>
    </row>
    <row r="548" s="17" customFormat="1" spans="1:13">
      <c r="A548" s="17" t="s">
        <v>291</v>
      </c>
      <c r="B548" s="17" t="s">
        <v>212</v>
      </c>
      <c r="C548" s="17" t="s">
        <v>213</v>
      </c>
      <c r="D548" s="17">
        <v>57.56</v>
      </c>
      <c r="E548" s="17">
        <v>637</v>
      </c>
      <c r="F548" s="17">
        <v>21</v>
      </c>
      <c r="G548" s="17">
        <v>0</v>
      </c>
      <c r="H548" s="17">
        <v>0</v>
      </c>
      <c r="I548" s="17">
        <v>10</v>
      </c>
      <c r="J548" s="17">
        <v>5.76</v>
      </c>
      <c r="K548" s="17">
        <v>10</v>
      </c>
      <c r="L548" s="17">
        <v>5.76</v>
      </c>
      <c r="M548" s="17">
        <v>0</v>
      </c>
    </row>
    <row r="549" s="17" customFormat="1" spans="1:13">
      <c r="A549" s="17" t="s">
        <v>292</v>
      </c>
      <c r="B549" s="17" t="s">
        <v>212</v>
      </c>
      <c r="C549" s="17" t="s">
        <v>213</v>
      </c>
      <c r="D549" s="17">
        <v>44.08</v>
      </c>
      <c r="E549" s="17">
        <v>576</v>
      </c>
      <c r="F549" s="17">
        <v>19</v>
      </c>
      <c r="G549" s="17">
        <v>0</v>
      </c>
      <c r="H549" s="17">
        <v>0</v>
      </c>
      <c r="I549" s="17">
        <v>5</v>
      </c>
      <c r="J549" s="17">
        <v>8.82</v>
      </c>
      <c r="K549" s="17">
        <v>5</v>
      </c>
      <c r="L549" s="17">
        <v>8.82</v>
      </c>
      <c r="M549" s="17">
        <v>0</v>
      </c>
    </row>
    <row r="550" s="17" customFormat="1" spans="1:13">
      <c r="A550" s="17" t="s">
        <v>293</v>
      </c>
      <c r="B550" s="17" t="s">
        <v>212</v>
      </c>
      <c r="C550" s="17" t="s">
        <v>213</v>
      </c>
      <c r="D550" s="17">
        <v>43.17</v>
      </c>
      <c r="E550" s="17">
        <v>468</v>
      </c>
      <c r="F550" s="17">
        <v>14</v>
      </c>
      <c r="G550" s="17">
        <v>0</v>
      </c>
      <c r="H550" s="17">
        <v>0</v>
      </c>
      <c r="I550" s="17">
        <v>4</v>
      </c>
      <c r="J550" s="17">
        <v>10.79</v>
      </c>
      <c r="K550" s="17">
        <v>4</v>
      </c>
      <c r="L550" s="17">
        <v>10.79</v>
      </c>
      <c r="M550" s="17">
        <v>0</v>
      </c>
    </row>
    <row r="551" s="17" customFormat="1" spans="1:13">
      <c r="A551" s="17" t="s">
        <v>294</v>
      </c>
      <c r="B551" s="17" t="s">
        <v>212</v>
      </c>
      <c r="C551" s="17" t="s">
        <v>213</v>
      </c>
      <c r="D551" s="17">
        <v>27.02</v>
      </c>
      <c r="E551" s="17">
        <v>363</v>
      </c>
      <c r="F551" s="17">
        <v>8</v>
      </c>
      <c r="G551" s="17">
        <v>0</v>
      </c>
      <c r="H551" s="17">
        <v>0</v>
      </c>
      <c r="I551" s="17">
        <v>5</v>
      </c>
      <c r="J551" s="17">
        <v>5.4</v>
      </c>
      <c r="K551" s="17">
        <v>5</v>
      </c>
      <c r="L551" s="17">
        <v>5.4</v>
      </c>
      <c r="M551" s="17">
        <v>0</v>
      </c>
    </row>
    <row r="552" s="17" customFormat="1" spans="1:13">
      <c r="A552" s="17" t="s">
        <v>295</v>
      </c>
      <c r="B552" s="17" t="s">
        <v>212</v>
      </c>
      <c r="C552" s="17" t="s">
        <v>213</v>
      </c>
      <c r="D552" s="17">
        <v>32.12</v>
      </c>
      <c r="E552" s="17">
        <v>342</v>
      </c>
      <c r="F552" s="17">
        <v>13</v>
      </c>
      <c r="G552" s="17">
        <v>0</v>
      </c>
      <c r="H552" s="17">
        <v>0</v>
      </c>
      <c r="I552" s="17">
        <v>3</v>
      </c>
      <c r="J552" s="17">
        <v>10.71</v>
      </c>
      <c r="K552" s="17">
        <v>4</v>
      </c>
      <c r="L552" s="17">
        <v>8.03</v>
      </c>
      <c r="M552" s="17">
        <v>0</v>
      </c>
    </row>
    <row r="553" s="17" customFormat="1" spans="1:13">
      <c r="A553" s="17" t="s">
        <v>296</v>
      </c>
      <c r="B553" s="17" t="s">
        <v>212</v>
      </c>
      <c r="C553" s="17" t="s">
        <v>213</v>
      </c>
      <c r="D553" s="17">
        <v>29.66</v>
      </c>
      <c r="E553" s="17">
        <v>312</v>
      </c>
      <c r="F553" s="17">
        <v>7</v>
      </c>
      <c r="G553" s="17">
        <v>0</v>
      </c>
      <c r="H553" s="17">
        <v>0</v>
      </c>
      <c r="I553" s="17">
        <v>3</v>
      </c>
      <c r="J553" s="17">
        <v>9.89</v>
      </c>
      <c r="K553" s="17">
        <v>5</v>
      </c>
      <c r="L553" s="17">
        <v>5.93</v>
      </c>
      <c r="M553" s="17">
        <v>0</v>
      </c>
    </row>
    <row r="554" s="17" customFormat="1" spans="1:13">
      <c r="A554" s="17" t="s">
        <v>297</v>
      </c>
      <c r="B554" s="17" t="s">
        <v>212</v>
      </c>
      <c r="C554" s="17" t="s">
        <v>213</v>
      </c>
      <c r="D554" s="17">
        <v>31.81</v>
      </c>
      <c r="E554" s="17">
        <v>347</v>
      </c>
      <c r="F554" s="17">
        <v>9</v>
      </c>
      <c r="G554" s="17">
        <v>0</v>
      </c>
      <c r="H554" s="17">
        <v>0</v>
      </c>
      <c r="I554" s="17">
        <v>3</v>
      </c>
      <c r="J554" s="17">
        <v>10.6</v>
      </c>
      <c r="K554" s="17">
        <v>4</v>
      </c>
      <c r="L554" s="17">
        <v>7.95</v>
      </c>
      <c r="M554" s="17">
        <v>0</v>
      </c>
    </row>
    <row r="555" s="17" customFormat="1" spans="1:13">
      <c r="A555" s="17" t="s">
        <v>298</v>
      </c>
      <c r="B555" s="17" t="s">
        <v>212</v>
      </c>
      <c r="C555" s="17" t="s">
        <v>213</v>
      </c>
      <c r="D555" s="17">
        <v>92.19</v>
      </c>
      <c r="E555" s="17">
        <v>824</v>
      </c>
      <c r="F555" s="17">
        <v>29</v>
      </c>
      <c r="G555" s="17">
        <v>0</v>
      </c>
      <c r="H555" s="17">
        <v>0</v>
      </c>
      <c r="I555" s="17">
        <v>12</v>
      </c>
      <c r="J555" s="17">
        <v>7.68</v>
      </c>
      <c r="K555" s="17">
        <v>14</v>
      </c>
      <c r="L555" s="17">
        <v>6.59</v>
      </c>
      <c r="M555" s="17">
        <v>0</v>
      </c>
    </row>
    <row r="556" s="17" customFormat="1" spans="1:13">
      <c r="A556" s="17" t="s">
        <v>299</v>
      </c>
      <c r="B556" s="17" t="s">
        <v>212</v>
      </c>
      <c r="C556" s="17" t="s">
        <v>213</v>
      </c>
      <c r="D556" s="17">
        <v>46.03</v>
      </c>
      <c r="E556" s="17">
        <v>527</v>
      </c>
      <c r="F556" s="17">
        <v>11</v>
      </c>
      <c r="G556" s="17">
        <v>0</v>
      </c>
      <c r="H556" s="17">
        <v>0</v>
      </c>
      <c r="I556" s="17">
        <v>6</v>
      </c>
      <c r="J556" s="17">
        <v>7.67</v>
      </c>
      <c r="K556" s="17">
        <v>6</v>
      </c>
      <c r="L556" s="17">
        <v>7.67</v>
      </c>
      <c r="M556" s="17">
        <v>0</v>
      </c>
    </row>
    <row r="557" s="17" customFormat="1" spans="1:13">
      <c r="A557" s="17" t="s">
        <v>300</v>
      </c>
      <c r="B557" s="17" t="s">
        <v>212</v>
      </c>
      <c r="C557" s="17" t="s">
        <v>213</v>
      </c>
      <c r="D557" s="17">
        <v>0</v>
      </c>
      <c r="E557" s="17">
        <v>32</v>
      </c>
      <c r="F557" s="17">
        <v>2</v>
      </c>
      <c r="G557" s="17">
        <v>0</v>
      </c>
      <c r="H557" s="17">
        <v>0</v>
      </c>
      <c r="I557" s="17">
        <v>2</v>
      </c>
      <c r="J557" s="17">
        <v>0</v>
      </c>
      <c r="K557" s="17">
        <v>2</v>
      </c>
      <c r="L557" s="17">
        <v>0</v>
      </c>
      <c r="M557" s="17">
        <v>0</v>
      </c>
    </row>
    <row r="558" s="17" customFormat="1" spans="1:13">
      <c r="A558" s="17" t="s">
        <v>301</v>
      </c>
      <c r="B558" s="17" t="s">
        <v>212</v>
      </c>
      <c r="C558" s="17" t="s">
        <v>213</v>
      </c>
      <c r="D558" s="17">
        <v>0</v>
      </c>
      <c r="E558" s="17">
        <v>10</v>
      </c>
      <c r="F558" s="17">
        <v>1</v>
      </c>
      <c r="G558" s="17">
        <v>0</v>
      </c>
      <c r="H558" s="17">
        <v>0</v>
      </c>
      <c r="I558" s="17">
        <v>0</v>
      </c>
      <c r="J558" s="17">
        <v>0</v>
      </c>
      <c r="K558" s="17">
        <v>1</v>
      </c>
      <c r="L558" s="17">
        <v>0</v>
      </c>
      <c r="M558" s="17">
        <v>0</v>
      </c>
    </row>
    <row r="559" s="17" customFormat="1" spans="1:13">
      <c r="A559" s="17" t="s">
        <v>302</v>
      </c>
      <c r="B559" s="17" t="s">
        <v>212</v>
      </c>
      <c r="C559" s="17" t="s">
        <v>213</v>
      </c>
      <c r="D559" s="17">
        <v>0</v>
      </c>
      <c r="E559" s="17">
        <v>9</v>
      </c>
      <c r="F559" s="17">
        <v>0</v>
      </c>
      <c r="G559" s="17">
        <v>0</v>
      </c>
      <c r="H559" s="17">
        <v>0</v>
      </c>
      <c r="I559" s="17">
        <v>2</v>
      </c>
      <c r="J559" s="17">
        <v>0</v>
      </c>
      <c r="K559" s="17">
        <v>1</v>
      </c>
      <c r="L559" s="17">
        <v>0</v>
      </c>
      <c r="M559" s="17">
        <v>0</v>
      </c>
    </row>
    <row r="560" s="17" customFormat="1" spans="1:13">
      <c r="A560" s="17" t="s">
        <v>303</v>
      </c>
      <c r="B560" s="17" t="s">
        <v>212</v>
      </c>
      <c r="C560" s="17" t="s">
        <v>213</v>
      </c>
      <c r="D560" s="17">
        <v>40.82</v>
      </c>
      <c r="E560" s="17">
        <v>403</v>
      </c>
      <c r="F560" s="17">
        <v>9</v>
      </c>
      <c r="G560" s="17">
        <v>0</v>
      </c>
      <c r="H560" s="17">
        <v>0</v>
      </c>
      <c r="I560" s="17">
        <v>4</v>
      </c>
      <c r="J560" s="17">
        <v>10.21</v>
      </c>
      <c r="K560" s="17">
        <v>5</v>
      </c>
      <c r="L560" s="17">
        <v>8.16</v>
      </c>
      <c r="M560" s="17">
        <v>0</v>
      </c>
    </row>
    <row r="561" s="17" customFormat="1" spans="1:13">
      <c r="A561" s="17" t="s">
        <v>304</v>
      </c>
      <c r="B561" s="17" t="s">
        <v>212</v>
      </c>
      <c r="C561" s="17" t="s">
        <v>213</v>
      </c>
      <c r="D561" s="17">
        <v>53.45</v>
      </c>
      <c r="E561" s="17">
        <v>605</v>
      </c>
      <c r="F561" s="17">
        <v>20</v>
      </c>
      <c r="G561" s="17">
        <v>0</v>
      </c>
      <c r="H561" s="17">
        <v>0</v>
      </c>
      <c r="I561" s="17">
        <v>13</v>
      </c>
      <c r="J561" s="17">
        <v>4.11</v>
      </c>
      <c r="K561" s="17">
        <v>13</v>
      </c>
      <c r="L561" s="17">
        <v>4.11</v>
      </c>
      <c r="M561" s="17">
        <v>0</v>
      </c>
    </row>
    <row r="562" s="17" customFormat="1" spans="1:13">
      <c r="A562" s="17" t="s">
        <v>305</v>
      </c>
      <c r="B562" s="17" t="s">
        <v>212</v>
      </c>
      <c r="C562" s="17" t="s">
        <v>213</v>
      </c>
      <c r="D562" s="17">
        <v>75.01</v>
      </c>
      <c r="E562" s="17">
        <v>779</v>
      </c>
      <c r="F562" s="17">
        <v>18</v>
      </c>
      <c r="G562" s="17">
        <v>1</v>
      </c>
      <c r="H562" s="17">
        <v>75.01</v>
      </c>
      <c r="I562" s="17">
        <v>10</v>
      </c>
      <c r="J562" s="17">
        <v>7.5</v>
      </c>
      <c r="K562" s="17">
        <v>10</v>
      </c>
      <c r="L562" s="17">
        <v>7.5</v>
      </c>
      <c r="M562" s="17">
        <v>6</v>
      </c>
    </row>
    <row r="563" s="17" customFormat="1" spans="1:13">
      <c r="A563" s="17" t="s">
        <v>306</v>
      </c>
      <c r="B563" s="17" t="s">
        <v>212</v>
      </c>
      <c r="C563" s="17" t="s">
        <v>213</v>
      </c>
      <c r="D563" s="17">
        <v>99.1</v>
      </c>
      <c r="E563" s="17">
        <v>1041</v>
      </c>
      <c r="F563" s="17">
        <v>30</v>
      </c>
      <c r="G563" s="17">
        <v>1</v>
      </c>
      <c r="H563" s="17">
        <v>99.1</v>
      </c>
      <c r="I563" s="17">
        <v>11</v>
      </c>
      <c r="J563" s="17">
        <v>9.01</v>
      </c>
      <c r="K563" s="17">
        <v>14</v>
      </c>
      <c r="L563" s="17">
        <v>7.08</v>
      </c>
      <c r="M563" s="17">
        <v>111.9</v>
      </c>
    </row>
    <row r="564" s="17" customFormat="1" spans="1:13">
      <c r="A564" s="17" t="s">
        <v>307</v>
      </c>
      <c r="B564" s="17" t="s">
        <v>212</v>
      </c>
      <c r="C564" s="17" t="s">
        <v>213</v>
      </c>
      <c r="D564" s="17">
        <v>111.16</v>
      </c>
      <c r="E564" s="17">
        <v>1447</v>
      </c>
      <c r="F564" s="17">
        <v>32</v>
      </c>
      <c r="G564" s="17">
        <v>0</v>
      </c>
      <c r="H564" s="17">
        <v>0</v>
      </c>
      <c r="I564" s="17">
        <v>14</v>
      </c>
      <c r="J564" s="17">
        <v>7.94</v>
      </c>
      <c r="K564" s="17">
        <v>15</v>
      </c>
      <c r="L564" s="17">
        <v>7.41</v>
      </c>
      <c r="M564" s="17">
        <v>0</v>
      </c>
    </row>
    <row r="565" s="17" customFormat="1" spans="1:13">
      <c r="A565" s="17" t="s">
        <v>308</v>
      </c>
      <c r="B565" s="17" t="s">
        <v>212</v>
      </c>
      <c r="C565" s="17" t="s">
        <v>213</v>
      </c>
      <c r="D565" s="17">
        <v>92.02</v>
      </c>
      <c r="E565" s="17">
        <v>1091</v>
      </c>
      <c r="F565" s="17">
        <v>39</v>
      </c>
      <c r="G565" s="17">
        <v>1</v>
      </c>
      <c r="H565" s="17">
        <v>92.02</v>
      </c>
      <c r="I565" s="17">
        <v>15</v>
      </c>
      <c r="J565" s="17">
        <v>6.13</v>
      </c>
      <c r="K565" s="17">
        <v>17</v>
      </c>
      <c r="L565" s="17">
        <v>5.41</v>
      </c>
      <c r="M565" s="17">
        <v>39.8</v>
      </c>
    </row>
    <row r="566" s="17" customFormat="1" spans="1:13">
      <c r="A566" s="17" t="s">
        <v>309</v>
      </c>
      <c r="B566" s="17" t="s">
        <v>212</v>
      </c>
      <c r="C566" s="17" t="s">
        <v>213</v>
      </c>
      <c r="D566" s="17">
        <v>153.45</v>
      </c>
      <c r="E566" s="17">
        <v>1486</v>
      </c>
      <c r="F566" s="17">
        <v>46</v>
      </c>
      <c r="G566" s="17">
        <v>1</v>
      </c>
      <c r="H566" s="17">
        <v>153.45</v>
      </c>
      <c r="I566" s="17">
        <v>11</v>
      </c>
      <c r="J566" s="17">
        <v>13.95</v>
      </c>
      <c r="K566" s="17">
        <v>11</v>
      </c>
      <c r="L566" s="17">
        <v>13.95</v>
      </c>
      <c r="M566" s="17">
        <v>192</v>
      </c>
    </row>
    <row r="567" s="17" customFormat="1" spans="1:13">
      <c r="A567" s="17" t="s">
        <v>310</v>
      </c>
      <c r="B567" s="17" t="s">
        <v>212</v>
      </c>
      <c r="C567" s="17" t="s">
        <v>213</v>
      </c>
      <c r="D567" s="17">
        <v>164.32</v>
      </c>
      <c r="E567" s="17">
        <v>1890</v>
      </c>
      <c r="F567" s="17">
        <v>51</v>
      </c>
      <c r="G567" s="17">
        <v>0</v>
      </c>
      <c r="H567" s="17">
        <v>0</v>
      </c>
      <c r="I567" s="17">
        <v>22</v>
      </c>
      <c r="J567" s="17">
        <v>7.47</v>
      </c>
      <c r="K567" s="17">
        <v>25</v>
      </c>
      <c r="L567" s="17">
        <v>6.57</v>
      </c>
      <c r="M567" s="17">
        <v>0</v>
      </c>
    </row>
    <row r="568" s="17" customFormat="1" spans="1:13">
      <c r="A568" s="17" t="s">
        <v>311</v>
      </c>
      <c r="B568" s="17" t="s">
        <v>212</v>
      </c>
      <c r="C568" s="17" t="s">
        <v>213</v>
      </c>
      <c r="D568" s="17">
        <v>128.54</v>
      </c>
      <c r="E568" s="17">
        <v>1413</v>
      </c>
      <c r="F568" s="17">
        <v>33</v>
      </c>
      <c r="G568" s="17">
        <v>0</v>
      </c>
      <c r="H568" s="17">
        <v>0</v>
      </c>
      <c r="I568" s="17">
        <v>8</v>
      </c>
      <c r="J568" s="17">
        <v>16.07</v>
      </c>
      <c r="K568" s="17">
        <v>9</v>
      </c>
      <c r="L568" s="17">
        <v>14.28</v>
      </c>
      <c r="M568" s="17">
        <v>0</v>
      </c>
    </row>
    <row r="569" s="17" customFormat="1" spans="1:13">
      <c r="A569" s="17" t="s">
        <v>312</v>
      </c>
      <c r="B569" s="17" t="s">
        <v>212</v>
      </c>
      <c r="C569" s="17" t="s">
        <v>213</v>
      </c>
      <c r="D569" s="17">
        <v>66.35</v>
      </c>
      <c r="E569" s="17">
        <v>888</v>
      </c>
      <c r="F569" s="17">
        <v>23</v>
      </c>
      <c r="G569" s="17">
        <v>0</v>
      </c>
      <c r="H569" s="17">
        <v>0</v>
      </c>
      <c r="I569" s="17">
        <v>6</v>
      </c>
      <c r="J569" s="17">
        <v>11.06</v>
      </c>
      <c r="K569" s="17">
        <v>7</v>
      </c>
      <c r="L569" s="17">
        <v>9.48</v>
      </c>
      <c r="M569" s="17">
        <v>0</v>
      </c>
    </row>
    <row r="570" s="17" customFormat="1" spans="1:13">
      <c r="A570" s="17" t="s">
        <v>313</v>
      </c>
      <c r="B570" s="17" t="s">
        <v>212</v>
      </c>
      <c r="C570" s="17" t="s">
        <v>213</v>
      </c>
      <c r="D570" s="17">
        <v>51.21</v>
      </c>
      <c r="E570" s="17">
        <v>575</v>
      </c>
      <c r="F570" s="17">
        <v>13</v>
      </c>
      <c r="G570" s="17">
        <v>0</v>
      </c>
      <c r="H570" s="17">
        <v>0</v>
      </c>
      <c r="I570" s="17">
        <v>6</v>
      </c>
      <c r="J570" s="17">
        <v>8.54</v>
      </c>
      <c r="K570" s="17">
        <v>7</v>
      </c>
      <c r="L570" s="17">
        <v>7.32</v>
      </c>
      <c r="M570" s="17">
        <v>0</v>
      </c>
    </row>
    <row r="571" s="17" customFormat="1" spans="1:13">
      <c r="A571" s="17" t="s">
        <v>314</v>
      </c>
      <c r="B571" s="17" t="s">
        <v>212</v>
      </c>
      <c r="C571" s="17" t="s">
        <v>213</v>
      </c>
      <c r="D571" s="17">
        <v>38.91</v>
      </c>
      <c r="E571" s="17">
        <v>427</v>
      </c>
      <c r="F571" s="17">
        <v>12</v>
      </c>
      <c r="G571" s="17">
        <v>0</v>
      </c>
      <c r="H571" s="17">
        <v>0</v>
      </c>
      <c r="I571" s="17">
        <v>6</v>
      </c>
      <c r="J571" s="17">
        <v>6.49</v>
      </c>
      <c r="K571" s="17">
        <v>7</v>
      </c>
      <c r="L571" s="17">
        <v>5.56</v>
      </c>
      <c r="M571" s="17">
        <v>0</v>
      </c>
    </row>
    <row r="572" s="17" customFormat="1" spans="1:13">
      <c r="A572" s="17" t="s">
        <v>315</v>
      </c>
      <c r="B572" s="17" t="s">
        <v>212</v>
      </c>
      <c r="C572" s="17" t="s">
        <v>213</v>
      </c>
      <c r="D572" s="17">
        <v>38.17</v>
      </c>
      <c r="E572" s="17">
        <v>427</v>
      </c>
      <c r="F572" s="17">
        <v>14</v>
      </c>
      <c r="G572" s="17">
        <v>0</v>
      </c>
      <c r="H572" s="17">
        <v>0</v>
      </c>
      <c r="I572" s="17">
        <v>2</v>
      </c>
      <c r="J572" s="17">
        <v>19.09</v>
      </c>
      <c r="K572" s="17">
        <v>2</v>
      </c>
      <c r="L572" s="17">
        <v>19.09</v>
      </c>
      <c r="M572" s="17">
        <v>0</v>
      </c>
    </row>
    <row r="573" s="17" customFormat="1" spans="1:13">
      <c r="A573" s="17" t="s">
        <v>316</v>
      </c>
      <c r="B573" s="17" t="s">
        <v>212</v>
      </c>
      <c r="C573" s="17" t="s">
        <v>213</v>
      </c>
      <c r="D573" s="17">
        <v>46.35</v>
      </c>
      <c r="E573" s="17">
        <v>452</v>
      </c>
      <c r="F573" s="17">
        <v>15</v>
      </c>
      <c r="G573" s="17">
        <v>1</v>
      </c>
      <c r="H573" s="17">
        <v>46.35</v>
      </c>
      <c r="I573" s="17">
        <v>9</v>
      </c>
      <c r="J573" s="17">
        <v>5.15</v>
      </c>
      <c r="K573" s="17">
        <v>10</v>
      </c>
      <c r="L573" s="17">
        <v>4.64</v>
      </c>
      <c r="M573" s="17">
        <v>69.9</v>
      </c>
    </row>
    <row r="574" s="17" customFormat="1" spans="1:13">
      <c r="A574" s="17" t="s">
        <v>317</v>
      </c>
      <c r="B574" s="17" t="s">
        <v>212</v>
      </c>
      <c r="C574" s="17" t="s">
        <v>213</v>
      </c>
      <c r="D574" s="17">
        <v>41.42</v>
      </c>
      <c r="E574" s="17">
        <v>462</v>
      </c>
      <c r="F574" s="17">
        <v>9</v>
      </c>
      <c r="G574" s="17">
        <v>0</v>
      </c>
      <c r="H574" s="17">
        <v>0</v>
      </c>
      <c r="I574" s="17">
        <v>3</v>
      </c>
      <c r="J574" s="17">
        <v>13.81</v>
      </c>
      <c r="K574" s="17">
        <v>3</v>
      </c>
      <c r="L574" s="17">
        <v>13.81</v>
      </c>
      <c r="M574" s="17">
        <v>0</v>
      </c>
    </row>
    <row r="575" s="17" customFormat="1" spans="1:13">
      <c r="A575" s="17" t="s">
        <v>318</v>
      </c>
      <c r="B575" s="17" t="s">
        <v>212</v>
      </c>
      <c r="C575" s="17" t="s">
        <v>213</v>
      </c>
      <c r="D575" s="17">
        <v>53.74</v>
      </c>
      <c r="E575" s="17">
        <v>438</v>
      </c>
      <c r="F575" s="17">
        <v>20</v>
      </c>
      <c r="G575" s="17">
        <v>0</v>
      </c>
      <c r="H575" s="17">
        <v>0</v>
      </c>
      <c r="I575" s="17">
        <v>4</v>
      </c>
      <c r="J575" s="17">
        <v>13.44</v>
      </c>
      <c r="K575" s="17">
        <v>6</v>
      </c>
      <c r="L575" s="17">
        <v>8.96</v>
      </c>
      <c r="M575" s="17">
        <v>0</v>
      </c>
    </row>
    <row r="576" s="17" customFormat="1" spans="1:13">
      <c r="A576" s="17" t="s">
        <v>319</v>
      </c>
      <c r="B576" s="17" t="s">
        <v>212</v>
      </c>
      <c r="C576" s="17" t="s">
        <v>213</v>
      </c>
      <c r="D576" s="17">
        <v>47.47</v>
      </c>
      <c r="E576" s="17">
        <v>532</v>
      </c>
      <c r="F576" s="17">
        <v>10</v>
      </c>
      <c r="G576" s="17">
        <v>0</v>
      </c>
      <c r="H576" s="17">
        <v>0</v>
      </c>
      <c r="I576" s="17">
        <v>4</v>
      </c>
      <c r="J576" s="17">
        <v>11.87</v>
      </c>
      <c r="K576" s="17">
        <v>4</v>
      </c>
      <c r="L576" s="17">
        <v>11.87</v>
      </c>
      <c r="M576" s="17">
        <v>0</v>
      </c>
    </row>
    <row r="577" s="17" customFormat="1" spans="1:13">
      <c r="A577" s="17" t="s">
        <v>320</v>
      </c>
      <c r="B577" s="17" t="s">
        <v>212</v>
      </c>
      <c r="C577" s="17" t="s">
        <v>213</v>
      </c>
      <c r="D577" s="17">
        <v>45.81</v>
      </c>
      <c r="E577" s="17">
        <v>522</v>
      </c>
      <c r="F577" s="17">
        <v>11</v>
      </c>
      <c r="G577" s="17">
        <v>0</v>
      </c>
      <c r="H577" s="17">
        <v>0</v>
      </c>
      <c r="I577" s="17">
        <v>3</v>
      </c>
      <c r="J577" s="17">
        <v>15.27</v>
      </c>
      <c r="K577" s="17">
        <v>3</v>
      </c>
      <c r="L577" s="17">
        <v>15.27</v>
      </c>
      <c r="M577" s="17">
        <v>0</v>
      </c>
    </row>
    <row r="578" s="17" customFormat="1" spans="1:13">
      <c r="A578" s="17" t="s">
        <v>321</v>
      </c>
      <c r="B578" s="17" t="s">
        <v>212</v>
      </c>
      <c r="C578" s="17" t="s">
        <v>213</v>
      </c>
      <c r="D578" s="17">
        <v>68.07</v>
      </c>
      <c r="E578" s="17">
        <v>686</v>
      </c>
      <c r="F578" s="17">
        <v>18</v>
      </c>
      <c r="G578" s="17">
        <v>0</v>
      </c>
      <c r="H578" s="17">
        <v>0</v>
      </c>
      <c r="I578" s="17">
        <v>7</v>
      </c>
      <c r="J578" s="17">
        <v>9.72</v>
      </c>
      <c r="K578" s="17">
        <v>7</v>
      </c>
      <c r="L578" s="17">
        <v>9.72</v>
      </c>
      <c r="M578" s="17">
        <v>0</v>
      </c>
    </row>
    <row r="579" s="17" customFormat="1" spans="1:13">
      <c r="A579" s="17" t="s">
        <v>322</v>
      </c>
      <c r="B579" s="17" t="s">
        <v>212</v>
      </c>
      <c r="C579" s="17" t="s">
        <v>213</v>
      </c>
      <c r="D579" s="17">
        <v>65.97</v>
      </c>
      <c r="E579" s="17">
        <v>672</v>
      </c>
      <c r="F579" s="17">
        <v>21</v>
      </c>
      <c r="G579" s="17">
        <v>0</v>
      </c>
      <c r="H579" s="17">
        <v>0</v>
      </c>
      <c r="I579" s="17">
        <v>6</v>
      </c>
      <c r="J579" s="17">
        <v>11</v>
      </c>
      <c r="K579" s="17">
        <v>6</v>
      </c>
      <c r="L579" s="17">
        <v>11</v>
      </c>
      <c r="M579" s="17">
        <v>0</v>
      </c>
    </row>
    <row r="580" s="17" customFormat="1" spans="1:13">
      <c r="A580" s="17" t="s">
        <v>323</v>
      </c>
      <c r="B580" s="17" t="s">
        <v>212</v>
      </c>
      <c r="C580" s="17" t="s">
        <v>213</v>
      </c>
      <c r="D580" s="17">
        <v>54.77</v>
      </c>
      <c r="E580" s="17">
        <v>641</v>
      </c>
      <c r="F580" s="17">
        <v>16</v>
      </c>
      <c r="G580" s="17">
        <v>0</v>
      </c>
      <c r="H580" s="17">
        <v>0</v>
      </c>
      <c r="I580" s="17">
        <v>8</v>
      </c>
      <c r="J580" s="17">
        <v>6.85</v>
      </c>
      <c r="K580" s="17">
        <v>8</v>
      </c>
      <c r="L580" s="17">
        <v>6.85</v>
      </c>
      <c r="M580" s="17">
        <v>0</v>
      </c>
    </row>
    <row r="581" s="17" customFormat="1" spans="1:13">
      <c r="A581" s="17" t="s">
        <v>324</v>
      </c>
      <c r="B581" s="17" t="s">
        <v>212</v>
      </c>
      <c r="C581" s="17" t="s">
        <v>213</v>
      </c>
      <c r="D581" s="17">
        <v>0</v>
      </c>
      <c r="E581" s="17">
        <v>54</v>
      </c>
      <c r="F581" s="17">
        <v>2</v>
      </c>
      <c r="G581" s="17">
        <v>0</v>
      </c>
      <c r="H581" s="17">
        <v>0</v>
      </c>
      <c r="I581" s="17">
        <v>1</v>
      </c>
      <c r="J581" s="17">
        <v>0</v>
      </c>
      <c r="K581" s="17">
        <v>1</v>
      </c>
      <c r="L581" s="17">
        <v>0</v>
      </c>
      <c r="M581" s="17">
        <v>0</v>
      </c>
    </row>
    <row r="582" s="17" customFormat="1" spans="1:13">
      <c r="A582" s="17" t="s">
        <v>325</v>
      </c>
      <c r="B582" s="17" t="s">
        <v>212</v>
      </c>
      <c r="C582" s="17" t="s">
        <v>213</v>
      </c>
      <c r="D582" s="17">
        <v>0</v>
      </c>
      <c r="E582" s="17">
        <v>22</v>
      </c>
      <c r="F582" s="17">
        <v>1</v>
      </c>
      <c r="G582" s="17">
        <v>0</v>
      </c>
      <c r="H582" s="17">
        <v>0</v>
      </c>
      <c r="I582" s="17">
        <v>0</v>
      </c>
      <c r="J582" s="17">
        <v>0</v>
      </c>
      <c r="K582" s="17">
        <v>0</v>
      </c>
      <c r="L582" s="17">
        <v>0</v>
      </c>
      <c r="M582" s="17">
        <v>0</v>
      </c>
    </row>
    <row r="583" s="17" customFormat="1" spans="1:13">
      <c r="A583" s="17" t="s">
        <v>326</v>
      </c>
      <c r="B583" s="17" t="s">
        <v>212</v>
      </c>
      <c r="C583" s="17" t="s">
        <v>213</v>
      </c>
      <c r="D583" s="17">
        <v>0</v>
      </c>
      <c r="E583" s="17">
        <v>9</v>
      </c>
      <c r="F583" s="17">
        <v>0</v>
      </c>
      <c r="G583" s="17">
        <v>0</v>
      </c>
      <c r="H583" s="17">
        <v>0</v>
      </c>
      <c r="I583" s="17">
        <v>0</v>
      </c>
      <c r="J583" s="17">
        <v>0</v>
      </c>
      <c r="K583" s="17">
        <v>0</v>
      </c>
      <c r="L583" s="17">
        <v>0</v>
      </c>
      <c r="M583" s="17">
        <v>0</v>
      </c>
    </row>
    <row r="584" s="17" customFormat="1" spans="1:13">
      <c r="A584" s="17" t="s">
        <v>327</v>
      </c>
      <c r="B584" s="17" t="s">
        <v>212</v>
      </c>
      <c r="C584" s="17" t="s">
        <v>213</v>
      </c>
      <c r="D584" s="17">
        <v>37</v>
      </c>
      <c r="E584" s="17">
        <v>429</v>
      </c>
      <c r="F584" s="17">
        <v>13</v>
      </c>
      <c r="G584" s="17">
        <v>0</v>
      </c>
      <c r="H584" s="17">
        <v>0</v>
      </c>
      <c r="I584" s="17">
        <v>4</v>
      </c>
      <c r="J584" s="17">
        <v>9.25</v>
      </c>
      <c r="K584" s="17">
        <v>5</v>
      </c>
      <c r="L584" s="17">
        <v>7.4</v>
      </c>
      <c r="M584" s="17">
        <v>0</v>
      </c>
    </row>
    <row r="585" s="17" customFormat="1" spans="1:13">
      <c r="A585" s="17" t="s">
        <v>328</v>
      </c>
      <c r="B585" s="17" t="s">
        <v>212</v>
      </c>
      <c r="C585" s="17" t="s">
        <v>213</v>
      </c>
      <c r="D585" s="17">
        <v>40.54</v>
      </c>
      <c r="E585" s="17">
        <v>425</v>
      </c>
      <c r="F585" s="17">
        <v>18</v>
      </c>
      <c r="G585" s="17">
        <v>0</v>
      </c>
      <c r="H585" s="17">
        <v>0</v>
      </c>
      <c r="I585" s="17">
        <v>6</v>
      </c>
      <c r="J585" s="17">
        <v>6.76</v>
      </c>
      <c r="K585" s="17">
        <v>8</v>
      </c>
      <c r="L585" s="17">
        <v>5.07</v>
      </c>
      <c r="M585" s="17">
        <v>0</v>
      </c>
    </row>
    <row r="586" s="17" customFormat="1" spans="1:13">
      <c r="A586" s="17" t="s">
        <v>329</v>
      </c>
      <c r="B586" s="17" t="s">
        <v>212</v>
      </c>
      <c r="C586" s="17" t="s">
        <v>213</v>
      </c>
      <c r="D586" s="17">
        <v>36.23</v>
      </c>
      <c r="E586" s="17">
        <v>426</v>
      </c>
      <c r="F586" s="17">
        <v>14</v>
      </c>
      <c r="G586" s="17">
        <v>1</v>
      </c>
      <c r="H586" s="17">
        <v>36.23</v>
      </c>
      <c r="I586" s="17">
        <v>2</v>
      </c>
      <c r="J586" s="17">
        <v>18.12</v>
      </c>
      <c r="K586" s="17">
        <v>2</v>
      </c>
      <c r="L586" s="17">
        <v>18.12</v>
      </c>
      <c r="M586" s="17">
        <v>6</v>
      </c>
    </row>
    <row r="587" s="17" customFormat="1" spans="1:13">
      <c r="A587" s="17" t="s">
        <v>330</v>
      </c>
      <c r="B587" s="17" t="s">
        <v>212</v>
      </c>
      <c r="C587" s="17" t="s">
        <v>213</v>
      </c>
      <c r="D587" s="17">
        <v>38.3</v>
      </c>
      <c r="E587" s="17">
        <v>490</v>
      </c>
      <c r="F587" s="17">
        <v>18</v>
      </c>
      <c r="G587" s="17">
        <v>0</v>
      </c>
      <c r="H587" s="17">
        <v>0</v>
      </c>
      <c r="I587" s="17">
        <v>9</v>
      </c>
      <c r="J587" s="17">
        <v>4.26</v>
      </c>
      <c r="K587" s="17">
        <v>10</v>
      </c>
      <c r="L587" s="17">
        <v>3.83</v>
      </c>
      <c r="M587" s="17">
        <v>0</v>
      </c>
    </row>
    <row r="588" s="17" customFormat="1" spans="1:13">
      <c r="A588" s="17" t="s">
        <v>331</v>
      </c>
      <c r="B588" s="17" t="s">
        <v>212</v>
      </c>
      <c r="C588" s="17" t="s">
        <v>213</v>
      </c>
      <c r="D588" s="17">
        <v>27.32</v>
      </c>
      <c r="E588" s="17">
        <v>383</v>
      </c>
      <c r="F588" s="17">
        <v>7</v>
      </c>
      <c r="G588" s="17">
        <v>0</v>
      </c>
      <c r="H588" s="17">
        <v>0</v>
      </c>
      <c r="I588" s="17">
        <v>3</v>
      </c>
      <c r="J588" s="17">
        <v>9.11</v>
      </c>
      <c r="K588" s="17">
        <v>3</v>
      </c>
      <c r="L588" s="17">
        <v>9.11</v>
      </c>
      <c r="M588" s="17">
        <v>0</v>
      </c>
    </row>
    <row r="589" s="17" customFormat="1" spans="1:13">
      <c r="A589" s="17" t="s">
        <v>332</v>
      </c>
      <c r="B589" s="17" t="s">
        <v>212</v>
      </c>
      <c r="C589" s="17" t="s">
        <v>213</v>
      </c>
      <c r="D589" s="17">
        <v>33.34</v>
      </c>
      <c r="E589" s="17">
        <v>380</v>
      </c>
      <c r="F589" s="17">
        <v>9</v>
      </c>
      <c r="G589" s="17">
        <v>0</v>
      </c>
      <c r="H589" s="17">
        <v>0</v>
      </c>
      <c r="I589" s="17">
        <v>4</v>
      </c>
      <c r="J589" s="17">
        <v>8.34</v>
      </c>
      <c r="K589" s="17">
        <v>4</v>
      </c>
      <c r="L589" s="17">
        <v>8.34</v>
      </c>
      <c r="M589" s="17">
        <v>0</v>
      </c>
    </row>
    <row r="590" s="17" customFormat="1" spans="1:13">
      <c r="A590" s="17" t="s">
        <v>333</v>
      </c>
      <c r="B590" s="17" t="s">
        <v>212</v>
      </c>
      <c r="C590" s="17" t="s">
        <v>213</v>
      </c>
      <c r="D590" s="17">
        <v>27.88</v>
      </c>
      <c r="E590" s="17">
        <v>404</v>
      </c>
      <c r="F590" s="17">
        <v>22</v>
      </c>
      <c r="G590" s="17">
        <v>0</v>
      </c>
      <c r="H590" s="17">
        <v>0</v>
      </c>
      <c r="I590" s="17">
        <v>3</v>
      </c>
      <c r="J590" s="17">
        <v>9.29</v>
      </c>
      <c r="K590" s="17">
        <v>4</v>
      </c>
      <c r="L590" s="17">
        <v>6.97</v>
      </c>
      <c r="M590" s="17">
        <v>0</v>
      </c>
    </row>
    <row r="591" s="17" customFormat="1" spans="1:13">
      <c r="A591" s="17" t="s">
        <v>334</v>
      </c>
      <c r="B591" s="17" t="s">
        <v>212</v>
      </c>
      <c r="C591" s="17" t="s">
        <v>213</v>
      </c>
      <c r="D591" s="17">
        <v>54.95</v>
      </c>
      <c r="E591" s="17">
        <v>695</v>
      </c>
      <c r="F591" s="17">
        <v>22</v>
      </c>
      <c r="G591" s="17">
        <v>0</v>
      </c>
      <c r="H591" s="17">
        <v>0</v>
      </c>
      <c r="I591" s="17">
        <v>4</v>
      </c>
      <c r="J591" s="17">
        <v>13.74</v>
      </c>
      <c r="K591" s="17">
        <v>5</v>
      </c>
      <c r="L591" s="17">
        <v>10.99</v>
      </c>
      <c r="M591" s="17">
        <v>0</v>
      </c>
    </row>
    <row r="592" s="17" customFormat="1" spans="1:13">
      <c r="A592" s="17" t="s">
        <v>335</v>
      </c>
      <c r="B592" s="17" t="s">
        <v>212</v>
      </c>
      <c r="C592" s="17" t="s">
        <v>213</v>
      </c>
      <c r="D592" s="17">
        <v>52.97</v>
      </c>
      <c r="E592" s="17">
        <v>697</v>
      </c>
      <c r="F592" s="17">
        <v>25</v>
      </c>
      <c r="G592" s="17">
        <v>0</v>
      </c>
      <c r="H592" s="17">
        <v>0</v>
      </c>
      <c r="I592" s="17">
        <v>5</v>
      </c>
      <c r="J592" s="17">
        <v>10.59</v>
      </c>
      <c r="K592" s="17">
        <v>5</v>
      </c>
      <c r="L592" s="17">
        <v>10.59</v>
      </c>
      <c r="M592" s="17">
        <v>0</v>
      </c>
    </row>
    <row r="593" s="17" customFormat="1" spans="1:13">
      <c r="A593" s="17" t="s">
        <v>336</v>
      </c>
      <c r="B593" s="17" t="s">
        <v>212</v>
      </c>
      <c r="C593" s="17" t="s">
        <v>213</v>
      </c>
      <c r="D593" s="17">
        <v>40.21</v>
      </c>
      <c r="E593" s="17">
        <v>609</v>
      </c>
      <c r="F593" s="17">
        <v>13</v>
      </c>
      <c r="G593" s="17">
        <v>0</v>
      </c>
      <c r="H593" s="17">
        <v>0</v>
      </c>
      <c r="I593" s="17">
        <v>7</v>
      </c>
      <c r="J593" s="17">
        <v>5.74</v>
      </c>
      <c r="K593" s="17">
        <v>9</v>
      </c>
      <c r="L593" s="17">
        <v>4.47</v>
      </c>
      <c r="M593" s="17">
        <v>0</v>
      </c>
    </row>
    <row r="594" s="17" customFormat="1" spans="1:13">
      <c r="A594" s="17" t="s">
        <v>337</v>
      </c>
      <c r="B594" s="17" t="s">
        <v>212</v>
      </c>
      <c r="C594" s="17" t="s">
        <v>213</v>
      </c>
      <c r="D594" s="17">
        <v>43.73</v>
      </c>
      <c r="E594" s="17">
        <v>512</v>
      </c>
      <c r="F594" s="17">
        <v>17</v>
      </c>
      <c r="G594" s="17">
        <v>1</v>
      </c>
      <c r="H594" s="17">
        <v>43.73</v>
      </c>
      <c r="I594" s="17">
        <v>6</v>
      </c>
      <c r="J594" s="17">
        <v>7.29</v>
      </c>
      <c r="K594" s="17">
        <v>8</v>
      </c>
      <c r="L594" s="17">
        <v>5.47</v>
      </c>
      <c r="M594" s="17">
        <v>6</v>
      </c>
    </row>
    <row r="595" s="17" customFormat="1" spans="1:13">
      <c r="A595" s="17" t="s">
        <v>338</v>
      </c>
      <c r="B595" s="17" t="s">
        <v>212</v>
      </c>
      <c r="C595" s="17" t="s">
        <v>213</v>
      </c>
      <c r="D595" s="17">
        <v>38.11</v>
      </c>
      <c r="E595" s="17">
        <v>527</v>
      </c>
      <c r="F595" s="17">
        <v>18</v>
      </c>
      <c r="G595" s="17">
        <v>0</v>
      </c>
      <c r="H595" s="17">
        <v>0</v>
      </c>
      <c r="I595" s="17">
        <v>4</v>
      </c>
      <c r="J595" s="17">
        <v>9.53</v>
      </c>
      <c r="K595" s="17">
        <v>4</v>
      </c>
      <c r="L595" s="17">
        <v>9.53</v>
      </c>
      <c r="M595" s="17">
        <v>0</v>
      </c>
    </row>
    <row r="596" s="17" customFormat="1" spans="1:13">
      <c r="A596" s="17" t="s">
        <v>339</v>
      </c>
      <c r="B596" s="17" t="s">
        <v>212</v>
      </c>
      <c r="C596" s="17" t="s">
        <v>213</v>
      </c>
      <c r="D596" s="17">
        <v>64.52</v>
      </c>
      <c r="E596" s="17">
        <v>718</v>
      </c>
      <c r="F596" s="17">
        <v>27</v>
      </c>
      <c r="G596" s="17">
        <v>1</v>
      </c>
      <c r="H596" s="17">
        <v>64.52</v>
      </c>
      <c r="I596" s="17">
        <v>9</v>
      </c>
      <c r="J596" s="17">
        <v>7.17</v>
      </c>
      <c r="K596" s="17">
        <v>9</v>
      </c>
      <c r="L596" s="17">
        <v>7.17</v>
      </c>
      <c r="M596" s="17">
        <v>95.9</v>
      </c>
    </row>
    <row r="597" s="17" customFormat="1" spans="1:13">
      <c r="A597" s="17" t="s">
        <v>340</v>
      </c>
      <c r="B597" s="17" t="s">
        <v>212</v>
      </c>
      <c r="C597" s="17" t="s">
        <v>213</v>
      </c>
      <c r="D597" s="17">
        <v>81.86</v>
      </c>
      <c r="E597" s="17">
        <v>1064</v>
      </c>
      <c r="F597" s="17">
        <v>35</v>
      </c>
      <c r="G597" s="17">
        <v>0</v>
      </c>
      <c r="H597" s="17">
        <v>0</v>
      </c>
      <c r="I597" s="17">
        <v>14</v>
      </c>
      <c r="J597" s="17">
        <v>5.85</v>
      </c>
      <c r="K597" s="17">
        <v>15</v>
      </c>
      <c r="L597" s="17">
        <v>5.46</v>
      </c>
      <c r="M597" s="17">
        <v>0</v>
      </c>
    </row>
    <row r="598" s="17" customFormat="1" spans="1:13">
      <c r="A598" s="17" t="s">
        <v>341</v>
      </c>
      <c r="B598" s="17" t="s">
        <v>212</v>
      </c>
      <c r="C598" s="17" t="s">
        <v>213</v>
      </c>
      <c r="D598" s="17">
        <v>97.52</v>
      </c>
      <c r="E598" s="17">
        <v>1124</v>
      </c>
      <c r="F598" s="17">
        <v>25</v>
      </c>
      <c r="G598" s="17">
        <v>0</v>
      </c>
      <c r="H598" s="17">
        <v>0</v>
      </c>
      <c r="I598" s="17">
        <v>6</v>
      </c>
      <c r="J598" s="17">
        <v>16.25</v>
      </c>
      <c r="K598" s="17">
        <v>7</v>
      </c>
      <c r="L598" s="17">
        <v>13.93</v>
      </c>
      <c r="M598" s="17">
        <v>0</v>
      </c>
    </row>
    <row r="599" s="17" customFormat="1" spans="1:13">
      <c r="A599" s="17" t="s">
        <v>342</v>
      </c>
      <c r="B599" s="17" t="s">
        <v>212</v>
      </c>
      <c r="C599" s="17" t="s">
        <v>213</v>
      </c>
      <c r="D599" s="17">
        <v>94.54</v>
      </c>
      <c r="E599" s="17">
        <v>955</v>
      </c>
      <c r="F599" s="17">
        <v>24</v>
      </c>
      <c r="G599" s="17">
        <v>0</v>
      </c>
      <c r="H599" s="17">
        <v>0</v>
      </c>
      <c r="I599" s="17">
        <v>7</v>
      </c>
      <c r="J599" s="17">
        <v>13.51</v>
      </c>
      <c r="K599" s="17">
        <v>7</v>
      </c>
      <c r="L599" s="17">
        <v>13.51</v>
      </c>
      <c r="M599" s="17">
        <v>0</v>
      </c>
    </row>
    <row r="600" s="17" customFormat="1" spans="1:13">
      <c r="A600" s="17" t="s">
        <v>343</v>
      </c>
      <c r="B600" s="17" t="s">
        <v>212</v>
      </c>
      <c r="C600" s="17" t="s">
        <v>213</v>
      </c>
      <c r="D600" s="17">
        <v>57.68</v>
      </c>
      <c r="E600" s="17">
        <v>716</v>
      </c>
      <c r="F600" s="17">
        <v>15</v>
      </c>
      <c r="G600" s="17">
        <v>0</v>
      </c>
      <c r="H600" s="17">
        <v>0</v>
      </c>
      <c r="I600" s="17">
        <v>4</v>
      </c>
      <c r="J600" s="17">
        <v>14.42</v>
      </c>
      <c r="K600" s="17">
        <v>4</v>
      </c>
      <c r="L600" s="17">
        <v>14.42</v>
      </c>
      <c r="M600" s="17">
        <v>0</v>
      </c>
    </row>
    <row r="601" s="17" customFormat="1" spans="1:13">
      <c r="A601" s="17" t="s">
        <v>344</v>
      </c>
      <c r="B601" s="17" t="s">
        <v>212</v>
      </c>
      <c r="C601" s="17" t="s">
        <v>213</v>
      </c>
      <c r="D601" s="17">
        <v>24.78</v>
      </c>
      <c r="E601" s="17">
        <v>302</v>
      </c>
      <c r="F601" s="17">
        <v>10</v>
      </c>
      <c r="G601" s="17">
        <v>0</v>
      </c>
      <c r="H601" s="17">
        <v>0</v>
      </c>
      <c r="I601" s="17">
        <v>2</v>
      </c>
      <c r="J601" s="17">
        <v>12.39</v>
      </c>
      <c r="K601" s="17">
        <v>3</v>
      </c>
      <c r="L601" s="17">
        <v>8.26</v>
      </c>
      <c r="M601" s="17">
        <v>0</v>
      </c>
    </row>
    <row r="602" s="17" customFormat="1" spans="1:13">
      <c r="A602" s="17" t="s">
        <v>345</v>
      </c>
      <c r="B602" s="17" t="s">
        <v>212</v>
      </c>
      <c r="C602" s="17" t="s">
        <v>213</v>
      </c>
      <c r="D602" s="17">
        <v>20.13</v>
      </c>
      <c r="E602" s="17">
        <v>234</v>
      </c>
      <c r="F602" s="17">
        <v>5</v>
      </c>
      <c r="G602" s="17">
        <v>0</v>
      </c>
      <c r="H602" s="17">
        <v>0</v>
      </c>
      <c r="I602" s="17">
        <v>2</v>
      </c>
      <c r="J602" s="17">
        <v>10.07</v>
      </c>
      <c r="K602" s="17">
        <v>2</v>
      </c>
      <c r="L602" s="17">
        <v>10.07</v>
      </c>
      <c r="M602" s="17">
        <v>0</v>
      </c>
    </row>
    <row r="603" s="17" customFormat="1" spans="1:13">
      <c r="A603" s="17" t="s">
        <v>346</v>
      </c>
      <c r="B603" s="17" t="s">
        <v>212</v>
      </c>
      <c r="C603" s="17" t="s">
        <v>213</v>
      </c>
      <c r="D603" s="17">
        <v>17.71</v>
      </c>
      <c r="E603" s="17">
        <v>244</v>
      </c>
      <c r="F603" s="17">
        <v>6</v>
      </c>
      <c r="G603" s="17">
        <v>0</v>
      </c>
      <c r="H603" s="17">
        <v>0</v>
      </c>
      <c r="I603" s="17">
        <v>1</v>
      </c>
      <c r="J603" s="17">
        <v>17.71</v>
      </c>
      <c r="K603" s="17">
        <v>2</v>
      </c>
      <c r="L603" s="17">
        <v>8.86</v>
      </c>
      <c r="M603" s="17">
        <v>0</v>
      </c>
    </row>
    <row r="604" s="17" customFormat="1" spans="1:13">
      <c r="A604" s="17" t="s">
        <v>347</v>
      </c>
      <c r="B604" s="17" t="s">
        <v>212</v>
      </c>
      <c r="C604" s="17" t="s">
        <v>213</v>
      </c>
      <c r="D604" s="17">
        <v>0.19</v>
      </c>
      <c r="E604" s="17">
        <v>27</v>
      </c>
      <c r="F604" s="17">
        <v>1</v>
      </c>
      <c r="G604" s="17">
        <v>0</v>
      </c>
      <c r="H604" s="17">
        <v>0</v>
      </c>
      <c r="I604" s="17">
        <v>0</v>
      </c>
      <c r="J604" s="17">
        <v>0</v>
      </c>
      <c r="K604" s="17">
        <v>0</v>
      </c>
      <c r="L604" s="17">
        <v>0</v>
      </c>
      <c r="M604" s="17">
        <v>0</v>
      </c>
    </row>
    <row r="605" s="17" customFormat="1" spans="1:13">
      <c r="A605" s="17" t="s">
        <v>348</v>
      </c>
      <c r="B605" s="17" t="s">
        <v>212</v>
      </c>
      <c r="C605" s="17" t="s">
        <v>213</v>
      </c>
      <c r="D605" s="17">
        <v>0</v>
      </c>
      <c r="E605" s="17">
        <v>7</v>
      </c>
      <c r="F605" s="17">
        <v>0</v>
      </c>
      <c r="G605" s="17">
        <v>0</v>
      </c>
      <c r="H605" s="17">
        <v>0</v>
      </c>
      <c r="I605" s="17">
        <v>0</v>
      </c>
      <c r="J605" s="17">
        <v>0</v>
      </c>
      <c r="K605" s="17">
        <v>0</v>
      </c>
      <c r="L605" s="17">
        <v>0</v>
      </c>
      <c r="M605" s="17">
        <v>0</v>
      </c>
    </row>
    <row r="606" s="17" customFormat="1" spans="1:13">
      <c r="A606" s="17" t="s">
        <v>349</v>
      </c>
      <c r="B606" s="17" t="s">
        <v>212</v>
      </c>
      <c r="C606" s="17" t="s">
        <v>213</v>
      </c>
      <c r="D606" s="17">
        <v>0</v>
      </c>
      <c r="E606" s="17">
        <v>5</v>
      </c>
      <c r="F606" s="17">
        <v>0</v>
      </c>
      <c r="G606" s="17">
        <v>0</v>
      </c>
      <c r="H606" s="17">
        <v>0</v>
      </c>
      <c r="I606" s="17">
        <v>0</v>
      </c>
      <c r="J606" s="17">
        <v>0</v>
      </c>
      <c r="K606" s="17">
        <v>0</v>
      </c>
      <c r="L606" s="17">
        <v>0</v>
      </c>
      <c r="M606" s="17">
        <v>0</v>
      </c>
    </row>
    <row r="607" s="17" customFormat="1" spans="1:13">
      <c r="A607" s="17" t="s">
        <v>350</v>
      </c>
      <c r="B607" s="17" t="s">
        <v>212</v>
      </c>
      <c r="C607" s="17" t="s">
        <v>213</v>
      </c>
      <c r="D607" s="17">
        <v>58.23</v>
      </c>
      <c r="E607" s="17">
        <v>479</v>
      </c>
      <c r="F607" s="17">
        <v>15</v>
      </c>
      <c r="G607" s="17">
        <v>0</v>
      </c>
      <c r="H607" s="17">
        <v>0</v>
      </c>
      <c r="I607" s="17">
        <v>7</v>
      </c>
      <c r="J607" s="17">
        <v>8.32</v>
      </c>
      <c r="K607" s="17">
        <v>8</v>
      </c>
      <c r="L607" s="17">
        <v>7.28</v>
      </c>
      <c r="M607" s="17">
        <v>0</v>
      </c>
    </row>
    <row r="608" s="17" customFormat="1" spans="1:13">
      <c r="A608" s="17" t="s">
        <v>351</v>
      </c>
      <c r="B608" s="17" t="s">
        <v>212</v>
      </c>
      <c r="C608" s="17" t="s">
        <v>213</v>
      </c>
      <c r="D608" s="17">
        <v>64.52</v>
      </c>
      <c r="E608" s="17">
        <v>700</v>
      </c>
      <c r="F608" s="17">
        <v>20</v>
      </c>
      <c r="G608" s="17">
        <v>0</v>
      </c>
      <c r="H608" s="17">
        <v>0</v>
      </c>
      <c r="I608" s="17">
        <v>3</v>
      </c>
      <c r="J608" s="17">
        <v>21.51</v>
      </c>
      <c r="K608" s="17">
        <v>4</v>
      </c>
      <c r="L608" s="17">
        <v>16.13</v>
      </c>
      <c r="M608" s="17">
        <v>0</v>
      </c>
    </row>
    <row r="609" s="17" customFormat="1" spans="1:13">
      <c r="A609" s="17" t="s">
        <v>352</v>
      </c>
      <c r="B609" s="17" t="s">
        <v>212</v>
      </c>
      <c r="C609" s="17" t="s">
        <v>213</v>
      </c>
      <c r="D609" s="17">
        <v>62.34</v>
      </c>
      <c r="E609" s="17">
        <v>688</v>
      </c>
      <c r="F609" s="17">
        <v>17</v>
      </c>
      <c r="G609" s="17">
        <v>0</v>
      </c>
      <c r="H609" s="17">
        <v>0</v>
      </c>
      <c r="I609" s="17">
        <v>7</v>
      </c>
      <c r="J609" s="17">
        <v>8.91</v>
      </c>
      <c r="K609" s="17">
        <v>9</v>
      </c>
      <c r="L609" s="17">
        <v>6.93</v>
      </c>
      <c r="M609" s="17">
        <v>0</v>
      </c>
    </row>
    <row r="610" s="17" customFormat="1" spans="1:13">
      <c r="A610" s="17" t="s">
        <v>353</v>
      </c>
      <c r="B610" s="17" t="s">
        <v>212</v>
      </c>
      <c r="C610" s="17" t="s">
        <v>213</v>
      </c>
      <c r="D610" s="17">
        <v>106.58</v>
      </c>
      <c r="E610" s="17">
        <v>1209</v>
      </c>
      <c r="F610" s="17">
        <v>27</v>
      </c>
      <c r="G610" s="17">
        <v>0</v>
      </c>
      <c r="H610" s="17">
        <v>0</v>
      </c>
      <c r="I610" s="17">
        <v>4</v>
      </c>
      <c r="J610" s="17">
        <v>26.65</v>
      </c>
      <c r="K610" s="17">
        <v>5</v>
      </c>
      <c r="L610" s="17">
        <v>21.32</v>
      </c>
      <c r="M610" s="17">
        <v>0</v>
      </c>
    </row>
    <row r="611" s="17" customFormat="1" spans="1:13">
      <c r="A611" s="17" t="s">
        <v>354</v>
      </c>
      <c r="B611" s="17" t="s">
        <v>212</v>
      </c>
      <c r="C611" s="17" t="s">
        <v>213</v>
      </c>
      <c r="D611" s="17">
        <v>66.77</v>
      </c>
      <c r="E611" s="17">
        <v>952</v>
      </c>
      <c r="F611" s="17">
        <v>24</v>
      </c>
      <c r="G611" s="17">
        <v>0</v>
      </c>
      <c r="H611" s="17">
        <v>0</v>
      </c>
      <c r="I611" s="17">
        <v>8</v>
      </c>
      <c r="J611" s="17">
        <v>8.35</v>
      </c>
      <c r="K611" s="17">
        <v>8</v>
      </c>
      <c r="L611" s="17">
        <v>8.35</v>
      </c>
      <c r="M611" s="17">
        <v>0</v>
      </c>
    </row>
    <row r="612" s="17" customFormat="1" spans="1:13">
      <c r="A612" s="17" t="s">
        <v>355</v>
      </c>
      <c r="B612" s="17" t="s">
        <v>212</v>
      </c>
      <c r="C612" s="17" t="s">
        <v>213</v>
      </c>
      <c r="D612" s="17">
        <v>75.77</v>
      </c>
      <c r="E612" s="17">
        <v>760</v>
      </c>
      <c r="F612" s="17">
        <v>18</v>
      </c>
      <c r="G612" s="17">
        <v>1</v>
      </c>
      <c r="H612" s="17">
        <v>75.77</v>
      </c>
      <c r="I612" s="17">
        <v>6</v>
      </c>
      <c r="J612" s="17">
        <v>12.63</v>
      </c>
      <c r="K612" s="17">
        <v>7</v>
      </c>
      <c r="L612" s="17">
        <v>10.82</v>
      </c>
      <c r="M612" s="17">
        <v>30</v>
      </c>
    </row>
    <row r="613" s="17" customFormat="1" spans="1:13">
      <c r="A613" s="17" t="s">
        <v>356</v>
      </c>
      <c r="B613" s="17" t="s">
        <v>212</v>
      </c>
      <c r="C613" s="17" t="s">
        <v>213</v>
      </c>
      <c r="D613" s="17">
        <v>53.12</v>
      </c>
      <c r="E613" s="17">
        <v>648</v>
      </c>
      <c r="F613" s="17">
        <v>17</v>
      </c>
      <c r="G613" s="17">
        <v>0</v>
      </c>
      <c r="H613" s="17">
        <v>0</v>
      </c>
      <c r="I613" s="17">
        <v>7</v>
      </c>
      <c r="J613" s="17">
        <v>7.59</v>
      </c>
      <c r="K613" s="17">
        <v>7</v>
      </c>
      <c r="L613" s="17">
        <v>7.59</v>
      </c>
      <c r="M613" s="17">
        <v>0</v>
      </c>
    </row>
    <row r="614" s="17" customFormat="1" spans="1:13">
      <c r="A614" s="17" t="s">
        <v>357</v>
      </c>
      <c r="B614" s="17" t="s">
        <v>212</v>
      </c>
      <c r="C614" s="17" t="s">
        <v>213</v>
      </c>
      <c r="D614" s="17">
        <v>80.51</v>
      </c>
      <c r="E614" s="17">
        <v>732</v>
      </c>
      <c r="F614" s="17">
        <v>17</v>
      </c>
      <c r="G614" s="17">
        <v>1</v>
      </c>
      <c r="H614" s="17">
        <v>80.51</v>
      </c>
      <c r="I614" s="17">
        <v>3</v>
      </c>
      <c r="J614" s="17">
        <v>26.84</v>
      </c>
      <c r="K614" s="17">
        <v>3</v>
      </c>
      <c r="L614" s="17">
        <v>26.84</v>
      </c>
      <c r="M614" s="17">
        <v>12</v>
      </c>
    </row>
    <row r="615" s="17" customFormat="1" spans="1:13">
      <c r="A615" s="17" t="s">
        <v>358</v>
      </c>
      <c r="B615" s="17" t="s">
        <v>212</v>
      </c>
      <c r="C615" s="17" t="s">
        <v>213</v>
      </c>
      <c r="D615" s="17">
        <v>77.53</v>
      </c>
      <c r="E615" s="17">
        <v>706</v>
      </c>
      <c r="F615" s="17">
        <v>19</v>
      </c>
      <c r="G615" s="17">
        <v>0</v>
      </c>
      <c r="H615" s="17">
        <v>0</v>
      </c>
      <c r="I615" s="17">
        <v>8</v>
      </c>
      <c r="J615" s="17">
        <v>9.69</v>
      </c>
      <c r="K615" s="17">
        <v>10</v>
      </c>
      <c r="L615" s="17">
        <v>7.75</v>
      </c>
      <c r="M615" s="17">
        <v>0</v>
      </c>
    </row>
    <row r="616" s="17" customFormat="1" spans="1:13">
      <c r="A616" s="17" t="s">
        <v>359</v>
      </c>
      <c r="B616" s="17" t="s">
        <v>212</v>
      </c>
      <c r="C616" s="17" t="s">
        <v>213</v>
      </c>
      <c r="D616" s="17">
        <v>52.32</v>
      </c>
      <c r="E616" s="17">
        <v>547</v>
      </c>
      <c r="F616" s="17">
        <v>11</v>
      </c>
      <c r="G616" s="17">
        <v>0</v>
      </c>
      <c r="H616" s="17">
        <v>0</v>
      </c>
      <c r="I616" s="17">
        <v>4</v>
      </c>
      <c r="J616" s="17">
        <v>13.08</v>
      </c>
      <c r="K616" s="17">
        <v>5</v>
      </c>
      <c r="L616" s="17">
        <v>10.46</v>
      </c>
      <c r="M616" s="17">
        <v>0</v>
      </c>
    </row>
    <row r="617" s="17" customFormat="1" spans="1:13">
      <c r="A617" s="17" t="s">
        <v>360</v>
      </c>
      <c r="B617" s="17" t="s">
        <v>212</v>
      </c>
      <c r="C617" s="17" t="s">
        <v>213</v>
      </c>
      <c r="D617" s="17">
        <v>38.25</v>
      </c>
      <c r="E617" s="17">
        <v>430</v>
      </c>
      <c r="F617" s="17">
        <v>4</v>
      </c>
      <c r="G617" s="17">
        <v>0</v>
      </c>
      <c r="H617" s="17">
        <v>0</v>
      </c>
      <c r="I617" s="17">
        <v>1</v>
      </c>
      <c r="J617" s="17">
        <v>38.25</v>
      </c>
      <c r="K617" s="17">
        <v>1</v>
      </c>
      <c r="L617" s="17">
        <v>38.25</v>
      </c>
      <c r="M617" s="17">
        <v>0</v>
      </c>
    </row>
    <row r="618" s="17" customFormat="1" spans="1:13">
      <c r="A618" s="17" t="s">
        <v>361</v>
      </c>
      <c r="B618" s="17" t="s">
        <v>212</v>
      </c>
      <c r="C618" s="17" t="s">
        <v>213</v>
      </c>
      <c r="D618" s="17">
        <v>29.21</v>
      </c>
      <c r="E618" s="17">
        <v>308</v>
      </c>
      <c r="F618" s="17">
        <v>7</v>
      </c>
      <c r="G618" s="17">
        <v>0</v>
      </c>
      <c r="H618" s="17">
        <v>0</v>
      </c>
      <c r="I618" s="17">
        <v>2</v>
      </c>
      <c r="J618" s="17">
        <v>14.61</v>
      </c>
      <c r="K618" s="17">
        <v>2</v>
      </c>
      <c r="L618" s="17">
        <v>14.61</v>
      </c>
      <c r="M618" s="17">
        <v>0</v>
      </c>
    </row>
    <row r="619" s="17" customFormat="1" spans="1:13">
      <c r="A619" s="17" t="s">
        <v>362</v>
      </c>
      <c r="B619" s="17" t="s">
        <v>212</v>
      </c>
      <c r="C619" s="17" t="s">
        <v>213</v>
      </c>
      <c r="D619" s="17">
        <v>24.54</v>
      </c>
      <c r="E619" s="17">
        <v>376</v>
      </c>
      <c r="F619" s="17">
        <v>12</v>
      </c>
      <c r="G619" s="17">
        <v>0</v>
      </c>
      <c r="H619" s="17">
        <v>0</v>
      </c>
      <c r="I619" s="17">
        <v>2</v>
      </c>
      <c r="J619" s="17">
        <v>12.27</v>
      </c>
      <c r="K619" s="17">
        <v>2</v>
      </c>
      <c r="L619" s="17">
        <v>12.27</v>
      </c>
      <c r="M619" s="17">
        <v>0</v>
      </c>
    </row>
    <row r="620" s="17" customFormat="1" spans="1:13">
      <c r="A620" s="17" t="s">
        <v>363</v>
      </c>
      <c r="B620" s="17" t="s">
        <v>212</v>
      </c>
      <c r="C620" s="17" t="s">
        <v>213</v>
      </c>
      <c r="D620" s="17">
        <v>37.26</v>
      </c>
      <c r="E620" s="17">
        <v>375</v>
      </c>
      <c r="F620" s="17">
        <v>16</v>
      </c>
      <c r="G620" s="17">
        <v>0</v>
      </c>
      <c r="H620" s="17">
        <v>0</v>
      </c>
      <c r="I620" s="17">
        <v>1</v>
      </c>
      <c r="J620" s="17">
        <v>37.26</v>
      </c>
      <c r="K620" s="17">
        <v>2</v>
      </c>
      <c r="L620" s="17">
        <v>18.63</v>
      </c>
      <c r="M620" s="17">
        <v>0</v>
      </c>
    </row>
    <row r="621" s="17" customFormat="1" spans="1:13">
      <c r="A621" s="17" t="s">
        <v>364</v>
      </c>
      <c r="B621" s="17" t="s">
        <v>212</v>
      </c>
      <c r="C621" s="17" t="s">
        <v>213</v>
      </c>
      <c r="D621" s="17">
        <v>52.24</v>
      </c>
      <c r="E621" s="17">
        <v>651</v>
      </c>
      <c r="F621" s="17">
        <v>16</v>
      </c>
      <c r="G621" s="17">
        <v>1</v>
      </c>
      <c r="H621" s="17">
        <v>52.24</v>
      </c>
      <c r="I621" s="17">
        <v>3</v>
      </c>
      <c r="J621" s="17">
        <v>17.41</v>
      </c>
      <c r="K621" s="17">
        <v>3</v>
      </c>
      <c r="L621" s="17">
        <v>17.41</v>
      </c>
      <c r="M621" s="17">
        <v>6</v>
      </c>
    </row>
    <row r="622" s="17" customFormat="1" spans="1:13">
      <c r="A622" s="17" t="s">
        <v>365</v>
      </c>
      <c r="B622" s="17" t="s">
        <v>212</v>
      </c>
      <c r="C622" s="17" t="s">
        <v>213</v>
      </c>
      <c r="D622" s="17">
        <v>55.72</v>
      </c>
      <c r="E622" s="17">
        <v>738</v>
      </c>
      <c r="F622" s="17">
        <v>28</v>
      </c>
      <c r="G622" s="17">
        <v>2</v>
      </c>
      <c r="H622" s="17">
        <v>27.86</v>
      </c>
      <c r="I622" s="17">
        <v>9</v>
      </c>
      <c r="J622" s="17">
        <v>6.19</v>
      </c>
      <c r="K622" s="17">
        <v>9</v>
      </c>
      <c r="L622" s="17">
        <v>6.19</v>
      </c>
      <c r="M622" s="17">
        <v>51.8</v>
      </c>
    </row>
    <row r="623" s="17" customFormat="1" spans="1:13">
      <c r="A623" s="17" t="s">
        <v>366</v>
      </c>
      <c r="B623" s="17" t="s">
        <v>212</v>
      </c>
      <c r="C623" s="17" t="s">
        <v>213</v>
      </c>
      <c r="D623" s="17">
        <v>41.46</v>
      </c>
      <c r="E623" s="17">
        <v>520</v>
      </c>
      <c r="F623" s="17">
        <v>16</v>
      </c>
      <c r="G623" s="17">
        <v>0</v>
      </c>
      <c r="H623" s="17">
        <v>0</v>
      </c>
      <c r="I623" s="17">
        <v>6</v>
      </c>
      <c r="J623" s="17">
        <v>6.91</v>
      </c>
      <c r="K623" s="17">
        <v>6</v>
      </c>
      <c r="L623" s="17">
        <v>6.91</v>
      </c>
      <c r="M623" s="17">
        <v>0</v>
      </c>
    </row>
    <row r="624" s="17" customFormat="1" spans="1:13">
      <c r="A624" s="17" t="s">
        <v>367</v>
      </c>
      <c r="B624" s="17" t="s">
        <v>212</v>
      </c>
      <c r="C624" s="17" t="s">
        <v>213</v>
      </c>
      <c r="D624" s="17">
        <v>61.03</v>
      </c>
      <c r="E624" s="17">
        <v>791</v>
      </c>
      <c r="F624" s="17">
        <v>21</v>
      </c>
      <c r="G624" s="17">
        <v>1</v>
      </c>
      <c r="H624" s="17">
        <v>61.03</v>
      </c>
      <c r="I624" s="17">
        <v>7</v>
      </c>
      <c r="J624" s="17">
        <v>8.72</v>
      </c>
      <c r="K624" s="17">
        <v>9</v>
      </c>
      <c r="L624" s="17">
        <v>6.78</v>
      </c>
      <c r="M624" s="17">
        <v>6</v>
      </c>
    </row>
    <row r="625" s="17" customFormat="1" spans="1:13">
      <c r="A625" s="17" t="s">
        <v>368</v>
      </c>
      <c r="B625" s="17" t="s">
        <v>212</v>
      </c>
      <c r="C625" s="17" t="s">
        <v>213</v>
      </c>
      <c r="D625" s="17">
        <v>92.82</v>
      </c>
      <c r="E625" s="17">
        <v>1016</v>
      </c>
      <c r="F625" s="17">
        <v>26</v>
      </c>
      <c r="G625" s="17">
        <v>0</v>
      </c>
      <c r="H625" s="17">
        <v>0</v>
      </c>
      <c r="I625" s="17">
        <v>5</v>
      </c>
      <c r="J625" s="17">
        <v>18.56</v>
      </c>
      <c r="K625" s="17">
        <v>6</v>
      </c>
      <c r="L625" s="17">
        <v>15.47</v>
      </c>
      <c r="M625" s="17">
        <v>0</v>
      </c>
    </row>
    <row r="626" s="17" customFormat="1" spans="1:13">
      <c r="A626" s="17" t="s">
        <v>369</v>
      </c>
      <c r="B626" s="17" t="s">
        <v>212</v>
      </c>
      <c r="C626" s="17" t="s">
        <v>213</v>
      </c>
      <c r="D626" s="17">
        <v>144</v>
      </c>
      <c r="E626" s="17">
        <v>1631</v>
      </c>
      <c r="F626" s="17">
        <v>41</v>
      </c>
      <c r="G626" s="17">
        <v>1</v>
      </c>
      <c r="H626" s="17">
        <v>144</v>
      </c>
      <c r="I626" s="17">
        <v>16</v>
      </c>
      <c r="J626" s="17">
        <v>9</v>
      </c>
      <c r="K626" s="17">
        <v>16</v>
      </c>
      <c r="L626" s="17">
        <v>9</v>
      </c>
      <c r="M626" s="17">
        <v>6</v>
      </c>
    </row>
    <row r="627" s="17" customFormat="1" spans="1:13">
      <c r="A627" s="17" t="s">
        <v>370</v>
      </c>
      <c r="B627" s="17" t="s">
        <v>212</v>
      </c>
      <c r="C627" s="17" t="s">
        <v>213</v>
      </c>
      <c r="D627" s="17">
        <v>188.05</v>
      </c>
      <c r="E627" s="17">
        <v>2283</v>
      </c>
      <c r="F627" s="17">
        <v>49</v>
      </c>
      <c r="G627" s="17">
        <v>0</v>
      </c>
      <c r="H627" s="17">
        <v>0</v>
      </c>
      <c r="I627" s="17">
        <v>17</v>
      </c>
      <c r="J627" s="17">
        <v>11.06</v>
      </c>
      <c r="K627" s="17">
        <v>16</v>
      </c>
      <c r="L627" s="17">
        <v>11.75</v>
      </c>
      <c r="M627" s="17">
        <v>0</v>
      </c>
    </row>
    <row r="628" s="17" customFormat="1" spans="1:13">
      <c r="A628" s="17" t="s">
        <v>371</v>
      </c>
      <c r="B628" s="17" t="s">
        <v>212</v>
      </c>
      <c r="C628" s="17" t="s">
        <v>213</v>
      </c>
      <c r="D628" s="17">
        <v>344.67</v>
      </c>
      <c r="E628" s="17">
        <v>4138</v>
      </c>
      <c r="F628" s="17">
        <v>118</v>
      </c>
      <c r="G628" s="17">
        <v>2</v>
      </c>
      <c r="H628" s="17">
        <v>172.34</v>
      </c>
      <c r="I628" s="17">
        <v>41</v>
      </c>
      <c r="J628" s="17">
        <v>8.41</v>
      </c>
      <c r="K628" s="17">
        <v>46</v>
      </c>
      <c r="L628" s="17">
        <v>7.49</v>
      </c>
      <c r="M628" s="17">
        <v>45.9</v>
      </c>
    </row>
    <row r="629" s="17" customFormat="1" spans="1:13">
      <c r="A629" s="17" t="s">
        <v>372</v>
      </c>
      <c r="B629" s="17" t="s">
        <v>212</v>
      </c>
      <c r="C629" s="17" t="s">
        <v>213</v>
      </c>
      <c r="D629" s="17">
        <v>276.31</v>
      </c>
      <c r="E629" s="17">
        <v>3634</v>
      </c>
      <c r="F629" s="17">
        <v>93</v>
      </c>
      <c r="G629" s="17">
        <v>2</v>
      </c>
      <c r="H629" s="17">
        <v>138.16</v>
      </c>
      <c r="I629" s="17">
        <v>30</v>
      </c>
      <c r="J629" s="17">
        <v>9.21</v>
      </c>
      <c r="K629" s="17">
        <v>32</v>
      </c>
      <c r="L629" s="17">
        <v>8.63</v>
      </c>
      <c r="M629" s="17">
        <v>95.9</v>
      </c>
    </row>
    <row r="630" s="17" customFormat="1" spans="1:13">
      <c r="A630" s="17" t="s">
        <v>373</v>
      </c>
      <c r="B630" s="17" t="s">
        <v>212</v>
      </c>
      <c r="C630" s="17" t="s">
        <v>213</v>
      </c>
      <c r="D630" s="17">
        <v>298.18</v>
      </c>
      <c r="E630" s="17">
        <v>4212</v>
      </c>
      <c r="F630" s="17">
        <v>123</v>
      </c>
      <c r="G630" s="17">
        <v>1</v>
      </c>
      <c r="H630" s="17">
        <v>298.18</v>
      </c>
      <c r="I630" s="17">
        <v>36</v>
      </c>
      <c r="J630" s="17">
        <v>8.28</v>
      </c>
      <c r="K630" s="17">
        <v>41</v>
      </c>
      <c r="L630" s="17">
        <v>7.27</v>
      </c>
      <c r="M630" s="17">
        <v>12</v>
      </c>
    </row>
    <row r="631" s="17" customFormat="1" spans="1:13">
      <c r="A631" s="17" t="s">
        <v>374</v>
      </c>
      <c r="B631" s="17" t="s">
        <v>212</v>
      </c>
      <c r="C631" s="17" t="s">
        <v>213</v>
      </c>
      <c r="D631" s="17">
        <v>302.68</v>
      </c>
      <c r="E631" s="17">
        <v>4456</v>
      </c>
      <c r="F631" s="17">
        <v>120</v>
      </c>
      <c r="G631" s="17">
        <v>0</v>
      </c>
      <c r="H631" s="17">
        <v>0</v>
      </c>
      <c r="I631" s="17">
        <v>28</v>
      </c>
      <c r="J631" s="17">
        <v>10.81</v>
      </c>
      <c r="K631" s="17">
        <v>36</v>
      </c>
      <c r="L631" s="17">
        <v>8.41</v>
      </c>
      <c r="M631" s="17">
        <v>0</v>
      </c>
    </row>
    <row r="632" s="17" customFormat="1" spans="1:13">
      <c r="A632" s="17" t="s">
        <v>375</v>
      </c>
      <c r="B632" s="17" t="s">
        <v>212</v>
      </c>
      <c r="C632" s="17" t="s">
        <v>213</v>
      </c>
      <c r="D632" s="17">
        <v>206.85</v>
      </c>
      <c r="E632" s="17">
        <v>3174</v>
      </c>
      <c r="F632" s="17">
        <v>89</v>
      </c>
      <c r="G632" s="17">
        <v>2</v>
      </c>
      <c r="H632" s="17">
        <v>103.43</v>
      </c>
      <c r="I632" s="17">
        <v>25</v>
      </c>
      <c r="J632" s="17">
        <v>8.27</v>
      </c>
      <c r="K632" s="17">
        <v>28</v>
      </c>
      <c r="L632" s="17">
        <v>7.39</v>
      </c>
      <c r="M632" s="17">
        <v>42</v>
      </c>
    </row>
    <row r="633" s="17" customFormat="1" spans="1:13">
      <c r="A633" s="17" t="s">
        <v>376</v>
      </c>
      <c r="B633" s="17" t="s">
        <v>212</v>
      </c>
      <c r="C633" s="17" t="s">
        <v>213</v>
      </c>
      <c r="D633" s="17">
        <v>226.57</v>
      </c>
      <c r="E633" s="17">
        <v>3640</v>
      </c>
      <c r="F633" s="17">
        <v>80</v>
      </c>
      <c r="G633" s="17">
        <v>1</v>
      </c>
      <c r="H633" s="17">
        <v>226.57</v>
      </c>
      <c r="I633" s="17">
        <v>22</v>
      </c>
      <c r="J633" s="17">
        <v>10.3</v>
      </c>
      <c r="K633" s="17">
        <v>26</v>
      </c>
      <c r="L633" s="17">
        <v>8.71</v>
      </c>
      <c r="M633" s="17">
        <v>60</v>
      </c>
    </row>
    <row r="634" s="17" customFormat="1" spans="1:13">
      <c r="A634" s="17" t="s">
        <v>377</v>
      </c>
      <c r="B634" s="17" t="s">
        <v>212</v>
      </c>
      <c r="C634" s="17" t="s">
        <v>213</v>
      </c>
      <c r="D634" s="17">
        <v>552.46</v>
      </c>
      <c r="E634" s="17">
        <v>8931</v>
      </c>
      <c r="F634" s="17">
        <v>192</v>
      </c>
      <c r="G634" s="17">
        <v>3</v>
      </c>
      <c r="H634" s="17">
        <v>184.15</v>
      </c>
      <c r="I634" s="17">
        <v>65</v>
      </c>
      <c r="J634" s="17">
        <v>8.5</v>
      </c>
      <c r="K634" s="17">
        <v>72</v>
      </c>
      <c r="L634" s="17">
        <v>7.67</v>
      </c>
      <c r="M634" s="17">
        <v>111.9</v>
      </c>
    </row>
    <row r="635" s="17" customFormat="1" spans="1:13">
      <c r="A635" s="17" t="s">
        <v>378</v>
      </c>
      <c r="B635" s="17" t="s">
        <v>212</v>
      </c>
      <c r="C635" s="17" t="s">
        <v>213</v>
      </c>
      <c r="D635" s="17">
        <v>1144.06</v>
      </c>
      <c r="E635" s="17">
        <v>19541</v>
      </c>
      <c r="F635" s="17">
        <v>365</v>
      </c>
      <c r="G635" s="17">
        <v>3</v>
      </c>
      <c r="H635" s="17">
        <v>381.35</v>
      </c>
      <c r="I635" s="17">
        <v>105</v>
      </c>
      <c r="J635" s="17">
        <v>10.9</v>
      </c>
      <c r="K635" s="17">
        <v>120</v>
      </c>
      <c r="L635" s="17">
        <v>9.53</v>
      </c>
      <c r="M635" s="17">
        <v>84</v>
      </c>
    </row>
    <row r="636" s="17" customFormat="1" spans="1:13">
      <c r="A636" s="17" t="s">
        <v>379</v>
      </c>
      <c r="B636" s="17" t="s">
        <v>212</v>
      </c>
      <c r="C636" s="17" t="s">
        <v>213</v>
      </c>
      <c r="D636" s="17">
        <v>1244.93</v>
      </c>
      <c r="E636" s="17">
        <v>20157</v>
      </c>
      <c r="F636" s="17">
        <v>431</v>
      </c>
      <c r="G636" s="17">
        <v>2</v>
      </c>
      <c r="H636" s="17">
        <v>622.47</v>
      </c>
      <c r="I636" s="17">
        <v>126</v>
      </c>
      <c r="J636" s="17">
        <v>9.88</v>
      </c>
      <c r="K636" s="17">
        <v>149</v>
      </c>
      <c r="L636" s="17">
        <v>8.36</v>
      </c>
      <c r="M636" s="17">
        <v>168</v>
      </c>
    </row>
    <row r="637" s="17" customFormat="1" spans="1:13">
      <c r="A637" s="17" t="s">
        <v>380</v>
      </c>
      <c r="B637" s="17" t="s">
        <v>212</v>
      </c>
      <c r="C637" s="17" t="s">
        <v>213</v>
      </c>
      <c r="D637" s="17">
        <v>445.06</v>
      </c>
      <c r="E637" s="17">
        <v>7371</v>
      </c>
      <c r="F637" s="17">
        <v>163</v>
      </c>
      <c r="G637" s="17">
        <v>0</v>
      </c>
      <c r="H637" s="17">
        <v>0</v>
      </c>
      <c r="I637" s="17">
        <v>59</v>
      </c>
      <c r="J637" s="17">
        <v>7.54</v>
      </c>
      <c r="K637" s="17">
        <v>66</v>
      </c>
      <c r="L637" s="17">
        <v>6.74</v>
      </c>
      <c r="M637" s="17">
        <v>0</v>
      </c>
    </row>
    <row r="638" s="17" customFormat="1" spans="1:13">
      <c r="A638" s="17" t="s">
        <v>381</v>
      </c>
      <c r="B638" s="17" t="s">
        <v>212</v>
      </c>
      <c r="C638" s="17" t="s">
        <v>213</v>
      </c>
      <c r="D638" s="17">
        <v>207.68</v>
      </c>
      <c r="E638" s="17">
        <v>3138</v>
      </c>
      <c r="F638" s="17">
        <v>83</v>
      </c>
      <c r="G638" s="17">
        <v>0</v>
      </c>
      <c r="H638" s="17">
        <v>0</v>
      </c>
      <c r="I638" s="17">
        <v>35</v>
      </c>
      <c r="J638" s="17">
        <v>5.93</v>
      </c>
      <c r="K638" s="17">
        <v>36</v>
      </c>
      <c r="L638" s="17">
        <v>5.77</v>
      </c>
      <c r="M638" s="17">
        <v>0</v>
      </c>
    </row>
    <row r="639" s="17" customFormat="1" spans="1:13">
      <c r="A639" s="17" t="s">
        <v>214</v>
      </c>
      <c r="B639" s="17" t="s">
        <v>386</v>
      </c>
      <c r="C639" s="17" t="s">
        <v>387</v>
      </c>
      <c r="D639" s="17">
        <v>0</v>
      </c>
      <c r="E639" s="17">
        <v>0</v>
      </c>
      <c r="F639" s="17">
        <v>0</v>
      </c>
      <c r="G639" s="17">
        <v>0</v>
      </c>
      <c r="H639" s="17">
        <v>0</v>
      </c>
      <c r="I639" s="17">
        <v>0</v>
      </c>
      <c r="J639" s="17">
        <v>0</v>
      </c>
      <c r="K639" s="17">
        <v>0</v>
      </c>
      <c r="L639" s="17">
        <v>0</v>
      </c>
      <c r="M639" s="17">
        <v>0</v>
      </c>
    </row>
    <row r="640" s="17" customFormat="1" spans="1:13">
      <c r="A640" s="17" t="s">
        <v>220</v>
      </c>
      <c r="B640" s="17" t="s">
        <v>386</v>
      </c>
      <c r="C640" s="17" t="s">
        <v>387</v>
      </c>
      <c r="D640" s="17">
        <v>0</v>
      </c>
      <c r="E640" s="17">
        <v>0</v>
      </c>
      <c r="F640" s="17">
        <v>0</v>
      </c>
      <c r="G640" s="17">
        <v>0</v>
      </c>
      <c r="H640" s="17">
        <v>0</v>
      </c>
      <c r="I640" s="17">
        <v>0</v>
      </c>
      <c r="J640" s="17">
        <v>0</v>
      </c>
      <c r="K640" s="17">
        <v>0</v>
      </c>
      <c r="L640" s="17">
        <v>0</v>
      </c>
      <c r="M640" s="17">
        <v>0</v>
      </c>
    </row>
    <row r="641" s="17" customFormat="1" spans="1:13">
      <c r="A641" s="17" t="s">
        <v>241</v>
      </c>
      <c r="B641" s="17" t="s">
        <v>386</v>
      </c>
      <c r="C641" s="17" t="s">
        <v>387</v>
      </c>
      <c r="D641" s="17">
        <v>0</v>
      </c>
      <c r="E641" s="17">
        <v>0</v>
      </c>
      <c r="F641" s="17">
        <v>0</v>
      </c>
      <c r="G641" s="17">
        <v>0</v>
      </c>
      <c r="H641" s="17">
        <v>0</v>
      </c>
      <c r="I641" s="17">
        <v>0</v>
      </c>
      <c r="J641" s="17">
        <v>0</v>
      </c>
      <c r="K641" s="17">
        <v>0</v>
      </c>
      <c r="L641" s="17">
        <v>0</v>
      </c>
      <c r="M641" s="17">
        <v>0</v>
      </c>
    </row>
    <row r="642" s="17" customFormat="1" spans="1:13">
      <c r="A642" s="17" t="s">
        <v>248</v>
      </c>
      <c r="B642" s="17" t="s">
        <v>386</v>
      </c>
      <c r="C642" s="17" t="s">
        <v>387</v>
      </c>
      <c r="D642" s="17">
        <v>0</v>
      </c>
      <c r="E642" s="17">
        <v>0</v>
      </c>
      <c r="F642" s="17">
        <v>0</v>
      </c>
      <c r="G642" s="17">
        <v>0</v>
      </c>
      <c r="H642" s="17">
        <v>0</v>
      </c>
      <c r="I642" s="17">
        <v>0</v>
      </c>
      <c r="J642" s="17">
        <v>0</v>
      </c>
      <c r="K642" s="17">
        <v>0</v>
      </c>
      <c r="L642" s="17">
        <v>0</v>
      </c>
      <c r="M642" s="17">
        <v>0</v>
      </c>
    </row>
    <row r="643" s="17" customFormat="1" spans="1:13">
      <c r="A643" s="17" t="s">
        <v>320</v>
      </c>
      <c r="B643" s="17" t="s">
        <v>386</v>
      </c>
      <c r="C643" s="17" t="s">
        <v>387</v>
      </c>
      <c r="D643" s="17">
        <v>0</v>
      </c>
      <c r="E643" s="17">
        <v>0</v>
      </c>
      <c r="F643" s="17">
        <v>0</v>
      </c>
      <c r="G643" s="17">
        <v>0</v>
      </c>
      <c r="H643" s="17">
        <v>0</v>
      </c>
      <c r="I643" s="17">
        <v>0</v>
      </c>
      <c r="J643" s="17">
        <v>0</v>
      </c>
      <c r="K643" s="17">
        <v>0</v>
      </c>
      <c r="L643" s="17">
        <v>0</v>
      </c>
      <c r="M643" s="17">
        <v>0</v>
      </c>
    </row>
    <row r="644" s="17" customFormat="1" spans="1:13">
      <c r="A644" s="17" t="s">
        <v>373</v>
      </c>
      <c r="B644" s="17" t="s">
        <v>386</v>
      </c>
      <c r="C644" s="17" t="s">
        <v>387</v>
      </c>
      <c r="D644" s="17">
        <v>0</v>
      </c>
      <c r="E644" s="17">
        <v>0</v>
      </c>
      <c r="F644" s="17">
        <v>0</v>
      </c>
      <c r="G644" s="17">
        <v>0</v>
      </c>
      <c r="H644" s="17">
        <v>0</v>
      </c>
      <c r="I644" s="17">
        <v>0</v>
      </c>
      <c r="J644" s="17">
        <v>0</v>
      </c>
      <c r="K644" s="17">
        <v>0</v>
      </c>
      <c r="L644" s="17">
        <v>0</v>
      </c>
      <c r="M644" s="17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O5" sqref="O5"/>
    </sheetView>
  </sheetViews>
  <sheetFormatPr defaultColWidth="8.88461538461539" defaultRowHeight="16.8"/>
  <cols>
    <col min="1" max="1" width="14.1153846153846" customWidth="1"/>
    <col min="2" max="3" width="18.1153846153846" customWidth="1"/>
    <col min="4" max="4" width="15.2211538461538"/>
    <col min="7" max="7" width="13"/>
    <col min="9" max="10" width="12.8846153846154"/>
    <col min="11" max="11" width="14.1153846153846"/>
    <col min="12" max="16" width="12.8846153846154"/>
    <col min="17" max="17" width="13"/>
    <col min="18" max="18" width="15.2211538461538"/>
    <col min="19" max="19" width="9.53846153846154"/>
    <col min="20" max="20" width="13.2211538461538" customWidth="1"/>
  </cols>
  <sheetData>
    <row r="1" s="1" customFormat="1" spans="1:20">
      <c r="A1" s="2" t="s">
        <v>8</v>
      </c>
      <c r="B1" s="2" t="s">
        <v>388</v>
      </c>
      <c r="C1" s="2" t="s">
        <v>389</v>
      </c>
      <c r="D1" s="2" t="s">
        <v>2</v>
      </c>
      <c r="E1" s="2" t="s">
        <v>9</v>
      </c>
      <c r="F1" s="2" t="s">
        <v>10</v>
      </c>
      <c r="G1" s="2" t="s">
        <v>11</v>
      </c>
      <c r="H1" s="2" t="s">
        <v>13</v>
      </c>
      <c r="I1" s="2" t="s">
        <v>14</v>
      </c>
      <c r="J1" s="2" t="s">
        <v>16</v>
      </c>
      <c r="K1" s="2" t="s">
        <v>390</v>
      </c>
      <c r="L1" s="2" t="s">
        <v>4</v>
      </c>
      <c r="M1" s="2" t="s">
        <v>391</v>
      </c>
      <c r="N1" s="2" t="s">
        <v>5</v>
      </c>
      <c r="O1" s="2" t="s">
        <v>392</v>
      </c>
      <c r="P1" s="2" t="s">
        <v>6</v>
      </c>
      <c r="Q1" s="2" t="s">
        <v>3</v>
      </c>
      <c r="R1" s="2" t="s">
        <v>17</v>
      </c>
      <c r="S1" s="2" t="s">
        <v>20</v>
      </c>
      <c r="T1" s="2" t="s">
        <v>21</v>
      </c>
    </row>
    <row r="2" s="1" customFormat="1" spans="1:20">
      <c r="A2" s="3" t="s">
        <v>393</v>
      </c>
      <c r="B2" s="3" t="s">
        <v>394</v>
      </c>
      <c r="C2" s="3" t="s">
        <v>395</v>
      </c>
      <c r="D2" s="4">
        <v>38974.7696</v>
      </c>
      <c r="E2" s="3">
        <v>2025</v>
      </c>
      <c r="F2" s="3">
        <v>1868</v>
      </c>
      <c r="G2" s="5">
        <f t="shared" ref="G2:G6" si="0">D2/F2</f>
        <v>20.8644376873662</v>
      </c>
      <c r="H2" s="6">
        <v>115</v>
      </c>
      <c r="I2" s="7">
        <f>H2/F2</f>
        <v>0.0615631691648822</v>
      </c>
      <c r="J2" s="5">
        <f>D2/H2</f>
        <v>338.91104</v>
      </c>
      <c r="K2" s="8">
        <v>6391.6</v>
      </c>
      <c r="L2" s="7">
        <f>K2/D2</f>
        <v>0.163993272201409</v>
      </c>
      <c r="M2" s="9">
        <v>9246.5</v>
      </c>
      <c r="N2" s="7">
        <f>M2/D2</f>
        <v>0.237243224139547</v>
      </c>
      <c r="O2" s="9">
        <v>15868.9</v>
      </c>
      <c r="P2" s="7">
        <f>O2/D2</f>
        <v>0.407158276055595</v>
      </c>
      <c r="Q2" s="5">
        <f>K2/F2</f>
        <v>3.42162740899358</v>
      </c>
      <c r="R2" s="5">
        <f>K2/H2</f>
        <v>55.5791304347826</v>
      </c>
      <c r="S2" s="10">
        <v>0.1231</v>
      </c>
      <c r="T2" s="10">
        <v>0.3391</v>
      </c>
    </row>
    <row r="3" s="1" customFormat="1" spans="1:20">
      <c r="A3" s="3"/>
      <c r="B3" s="3"/>
      <c r="C3" s="3" t="s">
        <v>396</v>
      </c>
      <c r="D3" s="4">
        <v>24699.6697</v>
      </c>
      <c r="E3" s="3">
        <v>2888</v>
      </c>
      <c r="F3" s="11">
        <v>2623</v>
      </c>
      <c r="G3" s="5">
        <f t="shared" si="0"/>
        <v>9.41657251239039</v>
      </c>
      <c r="H3" s="12">
        <v>83</v>
      </c>
      <c r="I3" s="7">
        <f>H3/F3</f>
        <v>0.031643156690812</v>
      </c>
      <c r="J3" s="5">
        <f>D3/H3</f>
        <v>297.586381927711</v>
      </c>
      <c r="K3" s="8">
        <v>3550.2</v>
      </c>
      <c r="L3" s="7">
        <f>K3/D3</f>
        <v>0.143734715610387</v>
      </c>
      <c r="M3" s="13">
        <v>6647.2</v>
      </c>
      <c r="N3" s="7">
        <f>M3/D3</f>
        <v>0.269121007719387</v>
      </c>
      <c r="O3" s="9">
        <v>7368.7</v>
      </c>
      <c r="P3" s="7">
        <f>O3/D3</f>
        <v>0.298331924657276</v>
      </c>
      <c r="Q3" s="5">
        <f>K3/F3</f>
        <v>1.35348837209302</v>
      </c>
      <c r="R3" s="5">
        <f>K3/H3</f>
        <v>42.7734939759036</v>
      </c>
      <c r="S3" s="10">
        <v>0.1262</v>
      </c>
      <c r="T3" s="10">
        <v>0.3012</v>
      </c>
    </row>
    <row r="4" s="1" customFormat="1" spans="1:20">
      <c r="A4" s="3"/>
      <c r="B4" s="3" t="s">
        <v>397</v>
      </c>
      <c r="C4" s="3" t="s">
        <v>395</v>
      </c>
      <c r="D4" s="4">
        <v>7773.3999</v>
      </c>
      <c r="E4" s="11">
        <v>830</v>
      </c>
      <c r="F4" s="11">
        <v>555</v>
      </c>
      <c r="G4" s="5">
        <f t="shared" si="0"/>
        <v>14.0061259459459</v>
      </c>
      <c r="H4" s="3">
        <v>26</v>
      </c>
      <c r="I4" s="7">
        <f>H4/F4</f>
        <v>0.0468468468468468</v>
      </c>
      <c r="J4" s="5">
        <f>D4/H4</f>
        <v>298.976919230769</v>
      </c>
      <c r="K4" s="14">
        <v>1684.5</v>
      </c>
      <c r="L4" s="7">
        <f>K4/D4</f>
        <v>0.21670054566471</v>
      </c>
      <c r="M4" s="9">
        <v>2961.9</v>
      </c>
      <c r="N4" s="7">
        <f>M4/D4</f>
        <v>0.381030184745802</v>
      </c>
      <c r="O4" s="9">
        <v>3925.4</v>
      </c>
      <c r="P4" s="7">
        <f>O4/D4</f>
        <v>0.504978522975513</v>
      </c>
      <c r="Q4" s="5">
        <f>K4/F4</f>
        <v>3.03513513513513</v>
      </c>
      <c r="R4" s="5">
        <f>K4/H4</f>
        <v>64.7884615384615</v>
      </c>
      <c r="S4" s="10">
        <v>0.1369</v>
      </c>
      <c r="T4" s="10">
        <v>0.5769</v>
      </c>
    </row>
    <row r="5" s="1" customFormat="1" spans="1:20">
      <c r="A5" s="3" t="s">
        <v>398</v>
      </c>
      <c r="B5" s="3" t="s">
        <v>394</v>
      </c>
      <c r="C5" s="3" t="s">
        <v>395</v>
      </c>
      <c r="D5" s="4">
        <v>58986.13</v>
      </c>
      <c r="E5" s="3">
        <v>3473</v>
      </c>
      <c r="F5" s="3">
        <v>3182</v>
      </c>
      <c r="G5" s="5">
        <f t="shared" si="0"/>
        <v>18.5374387177876</v>
      </c>
      <c r="H5" s="15">
        <v>216</v>
      </c>
      <c r="I5" s="7">
        <f t="shared" ref="I2:I7" si="1">H5/F5</f>
        <v>0.0678818353236958</v>
      </c>
      <c r="J5" s="5">
        <f t="shared" ref="J2:J7" si="2">D5/H5</f>
        <v>273.083935185185</v>
      </c>
      <c r="K5" s="8">
        <v>13546.6</v>
      </c>
      <c r="L5" s="7">
        <f t="shared" ref="L2:L7" si="3">K5/D5</f>
        <v>0.229657378777011</v>
      </c>
      <c r="M5" s="9" t="s">
        <v>399</v>
      </c>
      <c r="N5" s="7" t="e">
        <f t="shared" ref="N2:N7" si="4">M5/D5</f>
        <v>#VALUE!</v>
      </c>
      <c r="O5" s="9" t="s">
        <v>399</v>
      </c>
      <c r="P5" s="7" t="e">
        <f t="shared" ref="P2:P7" si="5">O5/D5</f>
        <v>#VALUE!</v>
      </c>
      <c r="Q5" s="5">
        <f t="shared" ref="Q2:Q7" si="6">K5/F5</f>
        <v>4.25725958516656</v>
      </c>
      <c r="R5" s="5">
        <f t="shared" ref="R2:R7" si="7">K5/H5</f>
        <v>62.7157407407407</v>
      </c>
      <c r="S5" s="10">
        <v>0.1496</v>
      </c>
      <c r="T5" s="10">
        <v>0.3194</v>
      </c>
    </row>
    <row r="6" s="1" customFormat="1" spans="1:20">
      <c r="A6" s="3"/>
      <c r="B6" s="3"/>
      <c r="C6" s="3" t="s">
        <v>396</v>
      </c>
      <c r="D6" s="4">
        <v>24515.4499</v>
      </c>
      <c r="E6" s="3">
        <v>2237</v>
      </c>
      <c r="F6" s="3">
        <v>2026</v>
      </c>
      <c r="G6" s="5">
        <f t="shared" si="0"/>
        <v>12.1004194965449</v>
      </c>
      <c r="H6" s="15">
        <v>75</v>
      </c>
      <c r="I6" s="7">
        <f t="shared" si="1"/>
        <v>0.0370187561697927</v>
      </c>
      <c r="J6" s="5">
        <f t="shared" si="2"/>
        <v>326.872665333333</v>
      </c>
      <c r="K6" s="8">
        <v>3546</v>
      </c>
      <c r="L6" s="7">
        <f t="shared" si="3"/>
        <v>0.144643480517973</v>
      </c>
      <c r="M6" s="9" t="s">
        <v>399</v>
      </c>
      <c r="N6" s="7" t="e">
        <f t="shared" si="4"/>
        <v>#VALUE!</v>
      </c>
      <c r="O6" s="9" t="s">
        <v>399</v>
      </c>
      <c r="P6" s="7" t="e">
        <f t="shared" si="5"/>
        <v>#VALUE!</v>
      </c>
      <c r="Q6" s="5">
        <f t="shared" si="6"/>
        <v>1.7502467917078</v>
      </c>
      <c r="R6" s="5">
        <f t="shared" si="7"/>
        <v>47.28</v>
      </c>
      <c r="S6" s="10">
        <v>0.118</v>
      </c>
      <c r="T6" s="10">
        <v>0.3467</v>
      </c>
    </row>
    <row r="7" s="1" customFormat="1" spans="1:20">
      <c r="A7" s="3"/>
      <c r="B7" s="3" t="s">
        <v>397</v>
      </c>
      <c r="C7" s="3" t="s">
        <v>395</v>
      </c>
      <c r="D7" s="4">
        <v>9052.7999</v>
      </c>
      <c r="E7" s="11">
        <v>961</v>
      </c>
      <c r="F7" s="11">
        <v>662</v>
      </c>
      <c r="G7" s="5">
        <f>D7/F7</f>
        <v>13.6749243202417</v>
      </c>
      <c r="H7" s="3">
        <v>26</v>
      </c>
      <c r="I7" s="7">
        <f t="shared" si="1"/>
        <v>0.0392749244712991</v>
      </c>
      <c r="J7" s="5">
        <f t="shared" si="2"/>
        <v>348.184611538462</v>
      </c>
      <c r="K7" s="14">
        <v>4273</v>
      </c>
      <c r="L7" s="7">
        <f t="shared" si="3"/>
        <v>0.472008665517947</v>
      </c>
      <c r="M7" s="9" t="s">
        <v>399</v>
      </c>
      <c r="N7" s="7" t="e">
        <f t="shared" si="4"/>
        <v>#VALUE!</v>
      </c>
      <c r="O7" s="9" t="s">
        <v>399</v>
      </c>
      <c r="P7" s="7" t="e">
        <f t="shared" si="5"/>
        <v>#VALUE!</v>
      </c>
      <c r="Q7" s="5">
        <f t="shared" si="6"/>
        <v>6.45468277945619</v>
      </c>
      <c r="R7" s="5">
        <f t="shared" si="7"/>
        <v>164.346153846154</v>
      </c>
      <c r="S7" s="10">
        <v>0.145</v>
      </c>
      <c r="T7" s="10">
        <v>0.5385</v>
      </c>
    </row>
    <row r="9" spans="1:20">
      <c r="I9" s="16"/>
    </row>
  </sheetData>
  <mergeCells count="4">
    <mergeCell ref="A2:A4"/>
    <mergeCell ref="A5:A7"/>
    <mergeCell ref="B2:B3"/>
    <mergeCell ref="B5:B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ROI</vt:lpstr>
      <vt:lpstr>明细数据</vt:lpstr>
      <vt:lpstr>本周分时数据（6.8-6.14）</vt:lpstr>
      <vt:lpstr>上周分时数据（6.1-6.7）</vt:lpstr>
      <vt:lpstr>分渠道数据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oulei</cp:lastModifiedBy>
  <dcterms:created xsi:type="dcterms:W3CDTF">2023-05-14T19:15:00Z</dcterms:created>
  <dcterms:modified xsi:type="dcterms:W3CDTF">2026-06-16T11:09:10Z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2052-12.1.25895.25895</vt:lpwstr>
  </property>
  <property fmtid="{D5CDD505-2E9C-101B-9397-08002B2CF9AE}" pid="3" name="ICV">
    <vt:lpwstr>5ED1B2C462324B8BA0E49539390D78F2_13</vt:lpwstr>
  </property>
  <property fmtid="{D5CDD505-2E9C-101B-9397-08002B2CF9AE}" pid="4" name="CalculationRule">
    <vt:i4>0</vt:i4>
  </property>
</Properties>
</file>